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TY WORK\ICT tasks\"/>
    </mc:Choice>
  </mc:AlternateContent>
  <xr:revisionPtr revIDLastSave="0" documentId="13_ncr:1_{6CFB4B81-C37F-4F21-BF0D-88A8D03A1378}" xr6:coauthVersionLast="47" xr6:coauthVersionMax="47" xr10:uidLastSave="{00000000-0000-0000-0000-000000000000}"/>
  <bookViews>
    <workbookView xWindow="-108" yWindow="-108" windowWidth="23256" windowHeight="12576" activeTab="6" xr2:uid="{8EE3ED51-DC35-4287-8A7C-02ACF5866D8A}"/>
  </bookViews>
  <sheets>
    <sheet name="HOME" sheetId="7" r:id="rId1"/>
    <sheet name="S.DATA" sheetId="1" r:id="rId2"/>
    <sheet name="L.RECORD" sheetId="2" r:id="rId3"/>
    <sheet name="BOOK INFO" sheetId="3" r:id="rId4"/>
    <sheet name="B.BOOKS" sheetId="5" r:id="rId5"/>
    <sheet name="OVERDUES" sheetId="4" r:id="rId6"/>
    <sheet name="LOS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I5" i="4"/>
  <c r="I6" i="4"/>
  <c r="N6" i="2"/>
  <c r="M6" i="2"/>
  <c r="L6" i="2"/>
  <c r="K6" i="2"/>
  <c r="J6" i="2"/>
  <c r="J7" i="5"/>
  <c r="N8" i="1"/>
  <c r="K7" i="5"/>
  <c r="K8" i="5"/>
  <c r="K9" i="5"/>
  <c r="J8" i="3"/>
  <c r="K8" i="3"/>
  <c r="K9" i="3"/>
  <c r="J9" i="3"/>
  <c r="K7" i="3"/>
  <c r="J7" i="3"/>
  <c r="Q9" i="1"/>
  <c r="Q10" i="1"/>
  <c r="P9" i="1"/>
  <c r="P10" i="1"/>
  <c r="O9" i="1"/>
  <c r="O10" i="1"/>
  <c r="N9" i="1"/>
  <c r="N10" i="1"/>
  <c r="Q8" i="1"/>
  <c r="P8" i="1"/>
  <c r="O8" i="1"/>
  <c r="E7" i="6"/>
  <c r="E7" i="3" s="1"/>
  <c r="E8" i="6"/>
  <c r="E8" i="3" s="1"/>
  <c r="E9" i="6"/>
  <c r="E9" i="3" s="1"/>
  <c r="E10" i="6"/>
  <c r="E10" i="3" s="1"/>
  <c r="E11" i="6"/>
  <c r="E11" i="3" s="1"/>
  <c r="E12" i="6"/>
  <c r="E12" i="3" s="1"/>
  <c r="E13" i="6"/>
  <c r="E13" i="3" s="1"/>
  <c r="E14" i="6"/>
  <c r="E14" i="3" s="1"/>
  <c r="E15" i="6"/>
  <c r="E15" i="3" s="1"/>
  <c r="E16" i="6"/>
  <c r="E16" i="3" s="1"/>
  <c r="E17" i="6"/>
  <c r="E17" i="3" s="1"/>
  <c r="E18" i="6"/>
  <c r="E18" i="3" s="1"/>
  <c r="E19" i="6"/>
  <c r="E19" i="3" s="1"/>
  <c r="E20" i="6"/>
  <c r="E20" i="3" s="1"/>
  <c r="E21" i="6"/>
  <c r="E21" i="3" s="1"/>
  <c r="E22" i="6"/>
  <c r="E22" i="3" s="1"/>
  <c r="E23" i="6"/>
  <c r="E23" i="3" s="1"/>
  <c r="E24" i="6"/>
  <c r="E24" i="3" s="1"/>
  <c r="E25" i="6"/>
  <c r="E25" i="3" s="1"/>
  <c r="E26" i="6"/>
  <c r="E26" i="3" s="1"/>
  <c r="E27" i="6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51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29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7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5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29" i="3"/>
  <c r="L7" i="3" l="1"/>
  <c r="L8" i="3"/>
  <c r="L9" i="3" l="1"/>
</calcChain>
</file>

<file path=xl/sharedStrings.xml><?xml version="1.0" encoding="utf-8"?>
<sst xmlns="http://schemas.openxmlformats.org/spreadsheetml/2006/main" count="592" uniqueCount="318">
  <si>
    <t>Student name</t>
  </si>
  <si>
    <t>Student id</t>
  </si>
  <si>
    <t>LGU-BSCS-1</t>
  </si>
  <si>
    <t>LGU-BSCS-2</t>
  </si>
  <si>
    <t>LGU-BSCS-3</t>
  </si>
  <si>
    <t>LGU-BSCS-4</t>
  </si>
  <si>
    <t>LGU-BSCS-5</t>
  </si>
  <si>
    <t>LGU-BSCS-6</t>
  </si>
  <si>
    <t>LGU-BSCS-7</t>
  </si>
  <si>
    <t>LGU-BSCS-8</t>
  </si>
  <si>
    <t>LGU-BSCS-9</t>
  </si>
  <si>
    <t>LGU-BSCS-10</t>
  </si>
  <si>
    <t>LGU-BSCS-11</t>
  </si>
  <si>
    <t>LGU-BSCS-12</t>
  </si>
  <si>
    <t>LGU-BSCS-13</t>
  </si>
  <si>
    <t>LGU-BSCS-14</t>
  </si>
  <si>
    <t>LGU-BSCS-15</t>
  </si>
  <si>
    <t>LGU-BSCS-16</t>
  </si>
  <si>
    <t>LGU-BSCS-17</t>
  </si>
  <si>
    <t>LGU-BSCS-18</t>
  </si>
  <si>
    <t>LGU-BSCS-19</t>
  </si>
  <si>
    <t>LGU-BSCS-20</t>
  </si>
  <si>
    <t>BSCS</t>
  </si>
  <si>
    <t>BSSE</t>
  </si>
  <si>
    <t>BSIT</t>
  </si>
  <si>
    <t>Contact no.</t>
  </si>
  <si>
    <t>Student Email</t>
  </si>
  <si>
    <t>abde1@gmail.com</t>
  </si>
  <si>
    <t>abde2@gmail.com</t>
  </si>
  <si>
    <t>Section</t>
  </si>
  <si>
    <t xml:space="preserve">Father name </t>
  </si>
  <si>
    <t>Course</t>
  </si>
  <si>
    <t>CNIC no.</t>
  </si>
  <si>
    <t>35200-0789938-1</t>
  </si>
  <si>
    <t>35200-0789938-2</t>
  </si>
  <si>
    <t>35200-0789938-3</t>
  </si>
  <si>
    <t>35200-0789938-4</t>
  </si>
  <si>
    <t>35200-0789938-5</t>
  </si>
  <si>
    <t>35200-0789938-6</t>
  </si>
  <si>
    <t>35200-0789938-7</t>
  </si>
  <si>
    <t>35200-0789938-8</t>
  </si>
  <si>
    <t>35200-0789938-9</t>
  </si>
  <si>
    <t>35200-0789948-1</t>
  </si>
  <si>
    <t>35200-0789948-2</t>
  </si>
  <si>
    <t>35200-0789948-3</t>
  </si>
  <si>
    <t>35200-0789948-4</t>
  </si>
  <si>
    <t>35200-0789948-5</t>
  </si>
  <si>
    <t>35200-0789948-6</t>
  </si>
  <si>
    <t>35200-0789948-7</t>
  </si>
  <si>
    <t>35200-0789948-8</t>
  </si>
  <si>
    <t>35200-0789948-9</t>
  </si>
  <si>
    <t>35200-0783948-1</t>
  </si>
  <si>
    <t>35200-0789448-2</t>
  </si>
  <si>
    <t>Address</t>
  </si>
  <si>
    <t>STUDENT DATA</t>
  </si>
  <si>
    <t>Librarian ID</t>
  </si>
  <si>
    <t>Name</t>
  </si>
  <si>
    <t>92-3114718776</t>
  </si>
  <si>
    <t>92-3115718776</t>
  </si>
  <si>
    <t>92-3116718776</t>
  </si>
  <si>
    <t>92-3117718776</t>
  </si>
  <si>
    <t>92-3118718776</t>
  </si>
  <si>
    <t>92-3119718776</t>
  </si>
  <si>
    <t>92-3120718776</t>
  </si>
  <si>
    <t>92-3121718776</t>
  </si>
  <si>
    <t>92-3122718776</t>
  </si>
  <si>
    <t>92-3123718776</t>
  </si>
  <si>
    <t>35200-0784938-1</t>
  </si>
  <si>
    <t>Email</t>
  </si>
  <si>
    <t>LGU-L-1</t>
  </si>
  <si>
    <t>LGU-L-2</t>
  </si>
  <si>
    <t>LGU-L-3</t>
  </si>
  <si>
    <t>LGU-L-4</t>
  </si>
  <si>
    <t>LGU-L-5</t>
  </si>
  <si>
    <t>LGU-L-6</t>
  </si>
  <si>
    <t>LGU-L-7</t>
  </si>
  <si>
    <t>LGU-L-8</t>
  </si>
  <si>
    <t>LGU-L-9</t>
  </si>
  <si>
    <t>LGU-L-10</t>
  </si>
  <si>
    <t>ALL BOOK INFORMATION</t>
  </si>
  <si>
    <t>Sr No.</t>
  </si>
  <si>
    <t>Title of Book</t>
  </si>
  <si>
    <t>Author</t>
  </si>
  <si>
    <t>No. of Books</t>
  </si>
  <si>
    <t>Rack No.</t>
  </si>
  <si>
    <t>Line No.</t>
  </si>
  <si>
    <t>Introduction to Computer Science Using Python</t>
  </si>
  <si>
    <t>Charles dierbatch</t>
  </si>
  <si>
    <t>A</t>
  </si>
  <si>
    <t>The Hidden Language of Computer Hardware and Software</t>
  </si>
  <si>
    <t>Charles Petzold</t>
  </si>
  <si>
    <t>The Good Parts</t>
  </si>
  <si>
    <t>Douglas Crockford</t>
  </si>
  <si>
    <t>The Elememts of Computing System</t>
  </si>
  <si>
    <t>Noam Nisan</t>
  </si>
  <si>
    <t xml:space="preserve">The Pragmetic Programmer </t>
  </si>
  <si>
    <t>Andrew Hunt</t>
  </si>
  <si>
    <t>Structure and Interpretation of computer Programs</t>
  </si>
  <si>
    <t>Harold Abelson</t>
  </si>
  <si>
    <t>Modern opertaing System</t>
  </si>
  <si>
    <t>Andrew S. Tanenbaum</t>
  </si>
  <si>
    <t>Introduction to Algorithms</t>
  </si>
  <si>
    <t>Thomas H. Cormen</t>
  </si>
  <si>
    <t>Programmming Language</t>
  </si>
  <si>
    <t>Dennis M. Ritchie</t>
  </si>
  <si>
    <t>Free Software, Free Society</t>
  </si>
  <si>
    <t>Richard Stallman</t>
  </si>
  <si>
    <t>The C++ Programming Language</t>
  </si>
  <si>
    <t>Bjarne Stroustrup</t>
  </si>
  <si>
    <t>The little Schemer</t>
  </si>
  <si>
    <t>Dainel P. Friedman</t>
  </si>
  <si>
    <t>The Mythical Man-Month</t>
  </si>
  <si>
    <t xml:space="preserve">Frederick P. Brooks </t>
  </si>
  <si>
    <t xml:space="preserve">Computer Organization and Design </t>
  </si>
  <si>
    <t>David A. Patterson</t>
  </si>
  <si>
    <t>Progamming Pearls</t>
  </si>
  <si>
    <t>Jon Bentely</t>
  </si>
  <si>
    <t>Design Patterns</t>
  </si>
  <si>
    <t>Erich Gamma</t>
  </si>
  <si>
    <t>A Handbook of Agile Software Craftsmanship</t>
  </si>
  <si>
    <t xml:space="preserve">Martin </t>
  </si>
  <si>
    <t>Improving the Design of Existing Code</t>
  </si>
  <si>
    <t>Martin Fowler</t>
  </si>
  <si>
    <t>Heroes of Computer Revolution</t>
  </si>
  <si>
    <t>Steven Levy</t>
  </si>
  <si>
    <t>Principles and Practice</t>
  </si>
  <si>
    <t>John F. Hughes</t>
  </si>
  <si>
    <t>MATH &amp; PHYSICS BOOKS INVENTOY</t>
  </si>
  <si>
    <t>The Theoratical Minimum</t>
  </si>
  <si>
    <t xml:space="preserve">Leonard Susskind  </t>
  </si>
  <si>
    <t>B</t>
  </si>
  <si>
    <t>A New Kind Of Science</t>
  </si>
  <si>
    <t>Stephen Wolfarm</t>
  </si>
  <si>
    <t>Our Mathematical Universe</t>
  </si>
  <si>
    <t>Max tegmark</t>
  </si>
  <si>
    <t>Brian Greene</t>
  </si>
  <si>
    <t>A Universe From Nothing</t>
  </si>
  <si>
    <t xml:space="preserve">Lawrence krauss </t>
  </si>
  <si>
    <t>A  Brief History Of Time</t>
  </si>
  <si>
    <t>Stephen Hawking</t>
  </si>
  <si>
    <t>The Quantum Universe</t>
  </si>
  <si>
    <t>Tony Hey</t>
  </si>
  <si>
    <t>The Elegant Universe</t>
  </si>
  <si>
    <t>Time Reborn</t>
  </si>
  <si>
    <t>Lee Smolin</t>
  </si>
  <si>
    <t>Physics Of The Impossible</t>
  </si>
  <si>
    <t>Michio Kaku</t>
  </si>
  <si>
    <t>The Fifth Essence</t>
  </si>
  <si>
    <t>The Grand Design</t>
  </si>
  <si>
    <t>The Fabric Of Reality</t>
  </si>
  <si>
    <t>David Deutsch</t>
  </si>
  <si>
    <t>Quantum Aspects Of Life</t>
  </si>
  <si>
    <t>Derek Abbott</t>
  </si>
  <si>
    <t>The Hidden Reality</t>
  </si>
  <si>
    <t>Quantum Man</t>
  </si>
  <si>
    <t>Seven Lessons of Physics</t>
  </si>
  <si>
    <t>Carlo Rovelli</t>
  </si>
  <si>
    <t>The Character Of Physical law</t>
  </si>
  <si>
    <t>Richard Feynman</t>
  </si>
  <si>
    <t>The God Practical</t>
  </si>
  <si>
    <t>Leon M.Lederman</t>
  </si>
  <si>
    <t>The Emperor's New Mind</t>
  </si>
  <si>
    <t>Roger Penrose</t>
  </si>
  <si>
    <t>Classical Art</t>
  </si>
  <si>
    <t>Aristoi Classical Academy</t>
  </si>
  <si>
    <t>Art History Timeline</t>
  </si>
  <si>
    <t xml:space="preserve">Fairfield Suisun </t>
  </si>
  <si>
    <t xml:space="preserve">African Art </t>
  </si>
  <si>
    <t>Marsha K Russell</t>
  </si>
  <si>
    <t>The Ancient World</t>
  </si>
  <si>
    <t>Higher Education Pearson</t>
  </si>
  <si>
    <t>The Origins of Modern Art</t>
  </si>
  <si>
    <t xml:space="preserve">Per Storemyr Archaeology  </t>
  </si>
  <si>
    <t>Ancient Indian Art</t>
  </si>
  <si>
    <t>Dr Uma Chakraborty</t>
  </si>
  <si>
    <t>The Philosophy of Modern Song</t>
  </si>
  <si>
    <t>Bob Dylan</t>
  </si>
  <si>
    <t>A confused Mind story</t>
  </si>
  <si>
    <t>Sahil Seth</t>
  </si>
  <si>
    <t xml:space="preserve"> Dreams Meet Delivery</t>
  </si>
  <si>
    <t>S Jaishankar</t>
  </si>
  <si>
    <t>She Is–Women in STEAM</t>
  </si>
  <si>
    <t>Supreet K Singh</t>
  </si>
  <si>
    <t>Politics as a Science</t>
  </si>
  <si>
    <t>Philippe C Schmitter</t>
  </si>
  <si>
    <t>The study of Politics</t>
  </si>
  <si>
    <t>University of Mumbai</t>
  </si>
  <si>
    <t>Things Political</t>
  </si>
  <si>
    <t>Gianluca Pozzoni</t>
  </si>
  <si>
    <t>Political Sciences</t>
  </si>
  <si>
    <t>Tadeusz Wallas</t>
  </si>
  <si>
    <t>Relation of Political Science</t>
  </si>
  <si>
    <t>Magadh Mahila College</t>
  </si>
  <si>
    <r>
      <rPr>
        <sz val="13"/>
        <color rgb="FF222222"/>
        <rFont val="Times New Roman"/>
        <family val="1"/>
      </rPr>
      <t>Political Science Influenced</t>
    </r>
    <r>
      <rPr>
        <sz val="13"/>
        <color rgb="FF222222"/>
        <rFont val="Arial"/>
        <family val="2"/>
      </rPr>
      <t> </t>
    </r>
  </si>
  <si>
    <t>Chronic Poverty</t>
  </si>
  <si>
    <t>Contemporary Political Theory</t>
  </si>
  <si>
    <t>Noida International University</t>
  </si>
  <si>
    <t xml:space="preserve">Comparative Politics Nature </t>
  </si>
  <si>
    <t>Shivaji College University of Delhi</t>
  </si>
  <si>
    <t>Leadership Theories</t>
  </si>
  <si>
    <t>Jiwaji University</t>
  </si>
  <si>
    <t>Nature and Scope of Political Science</t>
  </si>
  <si>
    <t>Dr Vinita Priyedarshi</t>
  </si>
  <si>
    <t>C</t>
  </si>
  <si>
    <t>Sr No</t>
  </si>
  <si>
    <t>Due Date</t>
  </si>
  <si>
    <t>Student ID</t>
  </si>
  <si>
    <t>Borrow Date</t>
  </si>
  <si>
    <t>Return Date</t>
  </si>
  <si>
    <t>LGU-BsCs-8</t>
  </si>
  <si>
    <t>LGU-BsCs-1</t>
  </si>
  <si>
    <t>LGU-BsCs-2</t>
  </si>
  <si>
    <t>LGU-BsCs-3</t>
  </si>
  <si>
    <t>2/2/2023</t>
  </si>
  <si>
    <t>LGU-BsCs-4</t>
  </si>
  <si>
    <t>LGU-BsCs-5</t>
  </si>
  <si>
    <t>LGU-BsCs-6</t>
  </si>
  <si>
    <t>LGU-BsCs-7</t>
  </si>
  <si>
    <t>LGU-BsCs-9</t>
  </si>
  <si>
    <t>LGU-BsCs-10</t>
  </si>
  <si>
    <t>LGU-BsCs-11</t>
  </si>
  <si>
    <t>LGU-BsCs-12</t>
  </si>
  <si>
    <t>LGU-BsCs-13</t>
  </si>
  <si>
    <t>LGU-BsCs-14</t>
  </si>
  <si>
    <t>LGU-BsCs-15</t>
  </si>
  <si>
    <t>LGU-BsCs-16</t>
  </si>
  <si>
    <t>LGU-BsCs-17</t>
  </si>
  <si>
    <t>LGU-BsCs-18</t>
  </si>
  <si>
    <t>LGU-BsCs-19</t>
  </si>
  <si>
    <t>SR NO.</t>
  </si>
  <si>
    <t>BOOK NAME</t>
  </si>
  <si>
    <t xml:space="preserve">                    2/3/2022</t>
  </si>
  <si>
    <t xml:space="preserve">                  14/6/2022</t>
  </si>
  <si>
    <t xml:space="preserve">                  24/6/2022</t>
  </si>
  <si>
    <t xml:space="preserve">                  1/12/2022</t>
  </si>
  <si>
    <t xml:space="preserve">                  4/12/2022</t>
  </si>
  <si>
    <t xml:space="preserve">                13/12/2022</t>
  </si>
  <si>
    <t xml:space="preserve">                  22/3/2023</t>
  </si>
  <si>
    <t xml:space="preserve">                18/10/2023</t>
  </si>
  <si>
    <t xml:space="preserve">                21/10/2023</t>
  </si>
  <si>
    <t xml:space="preserve">                12/11/2023</t>
  </si>
  <si>
    <t xml:space="preserve">                29/12/2023</t>
  </si>
  <si>
    <t>ARTS BOOKS INVENTORY</t>
  </si>
  <si>
    <t>LIBRARIANS RECORD</t>
  </si>
  <si>
    <t>Political Science Influenced </t>
  </si>
  <si>
    <t>BORROWED BOOKS</t>
  </si>
  <si>
    <r>
      <rPr>
        <b/>
        <sz val="36"/>
        <color theme="1" tint="4.9989318521683403E-2"/>
        <rFont val="Times New Roman"/>
        <family val="1"/>
      </rPr>
      <t xml:space="preserve">LIBRARY MANAGEMENT SYSTEM </t>
    </r>
    <r>
      <rPr>
        <b/>
        <sz val="36"/>
        <color rgb="FF006100"/>
        <rFont val="Times New Roman"/>
        <family val="1"/>
      </rPr>
      <t xml:space="preserve"> </t>
    </r>
    <r>
      <rPr>
        <sz val="11"/>
        <color rgb="FF006100"/>
        <rFont val="Calibri"/>
        <family val="2"/>
        <scheme val="minor"/>
      </rPr>
      <t xml:space="preserve">  </t>
    </r>
  </si>
  <si>
    <t>OVERDUES</t>
  </si>
  <si>
    <t>Student address 1</t>
  </si>
  <si>
    <t>Student address 2</t>
  </si>
  <si>
    <t>Student address 3</t>
  </si>
  <si>
    <t>Student address 4</t>
  </si>
  <si>
    <t>Student address 5</t>
  </si>
  <si>
    <t>Student address 6</t>
  </si>
  <si>
    <t>Student address 7</t>
  </si>
  <si>
    <t>Student address 8</t>
  </si>
  <si>
    <t>Student address 9</t>
  </si>
  <si>
    <t>Student address 10</t>
  </si>
  <si>
    <t>Student address 11</t>
  </si>
  <si>
    <t>Student address 12</t>
  </si>
  <si>
    <t>Student address 13</t>
  </si>
  <si>
    <t>Student address 14</t>
  </si>
  <si>
    <t>Student address 15</t>
  </si>
  <si>
    <t>Student address 16</t>
  </si>
  <si>
    <t>Student address 17</t>
  </si>
  <si>
    <t>Student address 18</t>
  </si>
  <si>
    <t>Student address 19</t>
  </si>
  <si>
    <t>Student address 20</t>
  </si>
  <si>
    <t>Sr no.</t>
  </si>
  <si>
    <r>
      <t xml:space="preserve"> </t>
    </r>
    <r>
      <rPr>
        <b/>
        <sz val="22"/>
        <color theme="1" tint="4.9989318521683403E-2"/>
        <rFont val="Times New Roman"/>
        <family val="1"/>
      </rPr>
      <t>BOOKS of COMPUTER</t>
    </r>
  </si>
  <si>
    <t>Sr no</t>
  </si>
  <si>
    <t>Total Charges</t>
  </si>
  <si>
    <t>P_day charges</t>
  </si>
  <si>
    <t xml:space="preserve">NO.OF BOOKS </t>
  </si>
  <si>
    <t>LGU-BSCS-21</t>
  </si>
  <si>
    <t>35200-0789448-3</t>
  </si>
  <si>
    <t>Student address 21</t>
  </si>
  <si>
    <t>Ali</t>
  </si>
  <si>
    <t>Sana</t>
  </si>
  <si>
    <t>Fajar</t>
  </si>
  <si>
    <t xml:space="preserve">malaika </t>
  </si>
  <si>
    <t>Taha</t>
  </si>
  <si>
    <t xml:space="preserve">Zoha </t>
  </si>
  <si>
    <t>komal</t>
  </si>
  <si>
    <t>Umer</t>
  </si>
  <si>
    <t>Fahad</t>
  </si>
  <si>
    <t xml:space="preserve">Neha </t>
  </si>
  <si>
    <t>Eman</t>
  </si>
  <si>
    <t>Attiqa</t>
  </si>
  <si>
    <t>Zara</t>
  </si>
  <si>
    <t>zoya</t>
  </si>
  <si>
    <t>Abdulla</t>
  </si>
  <si>
    <t>Sahir</t>
  </si>
  <si>
    <t>Saba</t>
  </si>
  <si>
    <t>Saira</t>
  </si>
  <si>
    <t>Haider</t>
  </si>
  <si>
    <t>Mubeen</t>
  </si>
  <si>
    <t>Farah</t>
  </si>
  <si>
    <t>Abid</t>
  </si>
  <si>
    <t>Faisal</t>
  </si>
  <si>
    <t>Sabahat</t>
  </si>
  <si>
    <t>faraz</t>
  </si>
  <si>
    <t>Faizan</t>
  </si>
  <si>
    <t>Sufian</t>
  </si>
  <si>
    <t>Safe</t>
  </si>
  <si>
    <t>asghar</t>
  </si>
  <si>
    <t>Saud</t>
  </si>
  <si>
    <t>taha</t>
  </si>
  <si>
    <t>AHSAN</t>
  </si>
  <si>
    <t>Ahmad</t>
  </si>
  <si>
    <t>M. Khan</t>
  </si>
  <si>
    <t>Mohsin</t>
  </si>
  <si>
    <t>M.ABDULLAH</t>
  </si>
  <si>
    <t>Awais</t>
  </si>
  <si>
    <t>Bilal</t>
  </si>
  <si>
    <t>Nasir</t>
  </si>
  <si>
    <t>BOOKS DAMAGES</t>
  </si>
  <si>
    <t>DATE OF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</si>
</sst>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sz val="11"/>
      <color rgb="FF006100"/>
      <name val="Calibri"/>
      <family val="1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3"/>
    </font>
    <font>
      <sz val="13"/>
      <color theme="1"/>
      <name val="Times New Roman"/>
      <family val="3"/>
      <charset val="134"/>
    </font>
    <font>
      <sz val="13"/>
      <color rgb="FF222222"/>
      <name val="Times New Roman"/>
      <family val="3"/>
    </font>
    <font>
      <sz val="13"/>
      <color rgb="FF222222"/>
      <name val="Arial"/>
      <family val="3"/>
    </font>
    <font>
      <sz val="13"/>
      <color rgb="FF222222"/>
      <name val="Times New Roman"/>
      <family val="1"/>
    </font>
    <font>
      <sz val="13"/>
      <color rgb="FF222222"/>
      <name val="Arial"/>
      <family val="2"/>
    </font>
    <font>
      <sz val="11"/>
      <color indexed="8"/>
      <name val="Calibri"/>
      <family val="2"/>
    </font>
    <font>
      <sz val="22"/>
      <color theme="1" tint="4.9989318521683403E-2"/>
      <name val="Times New Roman"/>
      <family val="1"/>
    </font>
    <font>
      <b/>
      <sz val="22"/>
      <color theme="1" tint="4.9989318521683403E-2"/>
      <name val="Times New Roman"/>
      <family val="1"/>
    </font>
    <font>
      <b/>
      <sz val="36"/>
      <color rgb="FF006100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48"/>
      <color theme="1"/>
      <name val="Times New Roman"/>
      <family val="1"/>
    </font>
    <font>
      <b/>
      <sz val="26"/>
      <color theme="1"/>
      <name val="Times New Roman"/>
      <family val="1"/>
    </font>
    <font>
      <b/>
      <sz val="48"/>
      <color theme="1" tint="4.9989318521683403E-2"/>
      <name val="Times New Roman"/>
      <family val="1"/>
    </font>
    <font>
      <b/>
      <sz val="36"/>
      <color theme="1" tint="4.9989318521683403E-2"/>
      <name val="Times New Roman"/>
      <family val="1"/>
    </font>
    <font>
      <b/>
      <sz val="36"/>
      <name val="Times New Roman"/>
      <family val="1"/>
    </font>
    <font>
      <b/>
      <sz val="28"/>
      <color rgb="FF3F3F3F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13"/>
      <color rgb="FF212121"/>
      <name val="Times"/>
    </font>
    <font>
      <b/>
      <i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rgb="FF212121"/>
      <name val="Times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double">
        <color rgb="FF3F3F3F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5" fillId="3" borderId="1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0" borderId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5" fillId="0" borderId="0" applyNumberFormat="0" applyFill="0" applyBorder="0" applyAlignment="0" applyProtection="0"/>
    <xf numFmtId="0" fontId="4" fillId="15" borderId="0" applyNumberFormat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7" fillId="7" borderId="3" xfId="6" applyFont="1" applyFill="1" applyBorder="1" applyAlignment="1">
      <alignment horizontal="left"/>
    </xf>
    <xf numFmtId="0" fontId="7" fillId="7" borderId="3" xfId="6" applyFont="1" applyFill="1" applyBorder="1" applyAlignment="1">
      <alignment horizontal="center"/>
    </xf>
    <xf numFmtId="0" fontId="7" fillId="7" borderId="2" xfId="6" applyFont="1" applyFill="1" applyBorder="1" applyAlignment="1">
      <alignment horizontal="left"/>
    </xf>
    <xf numFmtId="0" fontId="7" fillId="7" borderId="2" xfId="6" applyFont="1" applyFill="1" applyBorder="1" applyAlignment="1">
      <alignment horizontal="left" vertical="top"/>
    </xf>
    <xf numFmtId="0" fontId="7" fillId="7" borderId="2" xfId="6" applyFont="1" applyFill="1" applyBorder="1"/>
    <xf numFmtId="0" fontId="5" fillId="3" borderId="1" xfId="2"/>
    <xf numFmtId="0" fontId="9" fillId="8" borderId="5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/>
    </xf>
    <xf numFmtId="0" fontId="12" fillId="8" borderId="4" xfId="0" applyFont="1" applyFill="1" applyBorder="1"/>
    <xf numFmtId="0" fontId="10" fillId="8" borderId="4" xfId="0" applyFont="1" applyFill="1" applyBorder="1" applyAlignment="1">
      <alignment vertical="top"/>
    </xf>
    <xf numFmtId="0" fontId="10" fillId="8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vertical="top" wrapText="1"/>
    </xf>
    <xf numFmtId="0" fontId="13" fillId="8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5" fillId="3" borderId="1" xfId="2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5" fillId="3" borderId="1" xfId="2" applyNumberFormat="1" applyAlignment="1" applyProtection="1"/>
    <xf numFmtId="0" fontId="5" fillId="3" borderId="1" xfId="2" applyNumberFormat="1" applyAlignment="1" applyProtection="1">
      <alignment vertical="center"/>
    </xf>
    <xf numFmtId="0" fontId="4" fillId="11" borderId="1" xfId="9" applyNumberFormat="1" applyBorder="1" applyAlignment="1" applyProtection="1"/>
    <xf numFmtId="0" fontId="5" fillId="3" borderId="1" xfId="2" applyNumberFormat="1" applyAlignment="1" applyProtection="1">
      <alignment horizontal="center"/>
    </xf>
    <xf numFmtId="0" fontId="5" fillId="3" borderId="1" xfId="2" applyNumberFormat="1" applyAlignment="1" applyProtection="1">
      <alignment vertical="top"/>
    </xf>
    <xf numFmtId="0" fontId="5" fillId="3" borderId="1" xfId="2" applyNumberFormat="1" applyAlignment="1" applyProtection="1">
      <alignment horizontal="left" vertical="top" wrapText="1"/>
    </xf>
    <xf numFmtId="0" fontId="5" fillId="3" borderId="1" xfId="2" applyAlignment="1">
      <alignment vertical="center"/>
    </xf>
    <xf numFmtId="0" fontId="5" fillId="12" borderId="1" xfId="2" applyFill="1"/>
    <xf numFmtId="0" fontId="0" fillId="0" borderId="4" xfId="0" applyBorder="1"/>
    <xf numFmtId="0" fontId="5" fillId="13" borderId="4" xfId="2" applyFill="1" applyBorder="1"/>
    <xf numFmtId="14" fontId="4" fillId="13" borderId="4" xfId="3" applyNumberFormat="1" applyFill="1" applyBorder="1" applyAlignment="1" applyProtection="1">
      <alignment horizontal="left"/>
    </xf>
    <xf numFmtId="0" fontId="4" fillId="13" borderId="4" xfId="3" applyFill="1" applyBorder="1"/>
    <xf numFmtId="49" fontId="4" fillId="13" borderId="4" xfId="3" applyNumberFormat="1" applyFill="1" applyBorder="1" applyAlignment="1" applyProtection="1">
      <alignment horizontal="left"/>
    </xf>
    <xf numFmtId="14" fontId="4" fillId="14" borderId="4" xfId="3" applyNumberFormat="1" applyFill="1" applyBorder="1" applyAlignment="1" applyProtection="1">
      <alignment horizontal="left"/>
    </xf>
    <xf numFmtId="14" fontId="4" fillId="13" borderId="4" xfId="3" applyNumberFormat="1" applyFill="1" applyBorder="1" applyAlignment="1" applyProtection="1">
      <alignment horizontal="left" vertical="center"/>
    </xf>
    <xf numFmtId="49" fontId="4" fillId="13" borderId="4" xfId="3" applyNumberFormat="1" applyFill="1" applyBorder="1" applyAlignment="1" applyProtection="1">
      <alignment horizontal="left" vertical="center"/>
    </xf>
    <xf numFmtId="0" fontId="4" fillId="13" borderId="25" xfId="3" applyNumberFormat="1" applyFill="1" applyBorder="1" applyAlignment="1" applyProtection="1"/>
    <xf numFmtId="0" fontId="5" fillId="3" borderId="1" xfId="2" applyAlignment="1">
      <alignment horizontal="center" vertical="center"/>
    </xf>
    <xf numFmtId="0" fontId="5" fillId="14" borderId="1" xfId="2" applyFill="1" applyAlignment="1">
      <alignment horizontal="center" vertical="center"/>
    </xf>
    <xf numFmtId="0" fontId="5" fillId="18" borderId="1" xfId="2" applyFill="1"/>
    <xf numFmtId="0" fontId="4" fillId="18" borderId="1" xfId="5" applyFill="1" applyBorder="1"/>
    <xf numFmtId="0" fontId="4" fillId="15" borderId="1" xfId="11" applyBorder="1" applyAlignment="1">
      <alignment horizontal="center"/>
    </xf>
    <xf numFmtId="0" fontId="4" fillId="15" borderId="1" xfId="11" applyBorder="1" applyAlignment="1">
      <alignment vertical="center"/>
    </xf>
    <xf numFmtId="0" fontId="4" fillId="15" borderId="1" xfId="11" applyBorder="1"/>
    <xf numFmtId="0" fontId="5" fillId="18" borderId="4" xfId="2" applyFill="1" applyBorder="1"/>
    <xf numFmtId="0" fontId="4" fillId="18" borderId="4" xfId="5" applyFill="1" applyBorder="1"/>
    <xf numFmtId="0" fontId="5" fillId="20" borderId="1" xfId="2" applyFill="1"/>
    <xf numFmtId="0" fontId="5" fillId="20" borderId="1" xfId="2" applyFill="1" applyAlignment="1">
      <alignment vertical="center"/>
    </xf>
    <xf numFmtId="0" fontId="4" fillId="15" borderId="1" xfId="11" applyBorder="1" applyAlignment="1">
      <alignment horizontal="center" vertical="top"/>
    </xf>
    <xf numFmtId="0" fontId="23" fillId="19" borderId="4" xfId="9" applyFont="1" applyFill="1" applyBorder="1" applyAlignment="1">
      <alignment horizontal="center" vertical="center"/>
    </xf>
    <xf numFmtId="0" fontId="25" fillId="19" borderId="4" xfId="9" applyFont="1" applyFill="1" applyBorder="1" applyAlignment="1">
      <alignment horizontal="center" vertical="center"/>
    </xf>
    <xf numFmtId="0" fontId="24" fillId="19" borderId="4" xfId="9" applyFont="1" applyFill="1" applyBorder="1" applyAlignment="1">
      <alignment horizontal="center" vertical="center"/>
    </xf>
    <xf numFmtId="0" fontId="23" fillId="21" borderId="2" xfId="9" applyFont="1" applyFill="1" applyBorder="1" applyAlignment="1">
      <alignment horizontal="center" vertical="center"/>
    </xf>
    <xf numFmtId="0" fontId="25" fillId="21" borderId="2" xfId="9" applyFont="1" applyFill="1" applyBorder="1" applyAlignment="1">
      <alignment horizontal="center" vertical="center"/>
    </xf>
    <xf numFmtId="0" fontId="24" fillId="21" borderId="2" xfId="9" applyFont="1" applyFill="1" applyBorder="1" applyAlignment="1">
      <alignment horizontal="center" vertical="center"/>
    </xf>
    <xf numFmtId="0" fontId="4" fillId="15" borderId="3" xfId="11" applyBorder="1" applyAlignment="1">
      <alignment horizontal="center"/>
    </xf>
    <xf numFmtId="0" fontId="4" fillId="15" borderId="2" xfId="11" applyBorder="1" applyAlignment="1">
      <alignment horizontal="center"/>
    </xf>
    <xf numFmtId="0" fontId="23" fillId="20" borderId="2" xfId="9" applyFont="1" applyFill="1" applyBorder="1" applyAlignment="1">
      <alignment horizontal="center" vertical="center"/>
    </xf>
    <xf numFmtId="0" fontId="25" fillId="20" borderId="2" xfId="9" applyFont="1" applyFill="1" applyBorder="1" applyAlignment="1">
      <alignment horizontal="center" vertical="center"/>
    </xf>
    <xf numFmtId="0" fontId="24" fillId="20" borderId="2" xfId="9" applyFont="1" applyFill="1" applyBorder="1" applyAlignment="1">
      <alignment horizontal="center" vertical="center"/>
    </xf>
    <xf numFmtId="14" fontId="0" fillId="0" borderId="0" xfId="0" applyNumberFormat="1"/>
    <xf numFmtId="0" fontId="4" fillId="15" borderId="4" xfId="11" applyBorder="1"/>
    <xf numFmtId="0" fontId="4" fillId="15" borderId="25" xfId="11" applyNumberFormat="1" applyBorder="1" applyAlignment="1" applyProtection="1"/>
    <xf numFmtId="0" fontId="4" fillId="15" borderId="1" xfId="11" applyNumberFormat="1" applyBorder="1" applyAlignment="1" applyProtection="1">
      <alignment vertical="center"/>
    </xf>
    <xf numFmtId="14" fontId="4" fillId="15" borderId="4" xfId="11" applyNumberFormat="1" applyBorder="1" applyAlignment="1" applyProtection="1">
      <alignment horizontal="left"/>
    </xf>
    <xf numFmtId="0" fontId="4" fillId="15" borderId="1" xfId="11" applyNumberFormat="1" applyBorder="1" applyAlignment="1" applyProtection="1">
      <alignment horizontal="left"/>
    </xf>
    <xf numFmtId="0" fontId="4" fillId="15" borderId="1" xfId="11" applyNumberFormat="1" applyBorder="1" applyAlignment="1" applyProtection="1">
      <alignment horizontal="left" vertical="top"/>
    </xf>
    <xf numFmtId="0" fontId="4" fillId="15" borderId="1" xfId="11" applyNumberFormat="1" applyBorder="1" applyAlignment="1" applyProtection="1"/>
    <xf numFmtId="0" fontId="4" fillId="15" borderId="4" xfId="11" applyBorder="1" applyAlignment="1">
      <alignment horizontal="center"/>
    </xf>
    <xf numFmtId="0" fontId="0" fillId="17" borderId="4" xfId="0" applyFill="1" applyBorder="1"/>
    <xf numFmtId="0" fontId="4" fillId="17" borderId="25" xfId="9" applyNumberFormat="1" applyFill="1" applyBorder="1" applyAlignment="1" applyProtection="1"/>
    <xf numFmtId="0" fontId="4" fillId="17" borderId="1" xfId="9" applyNumberFormat="1" applyFill="1" applyBorder="1" applyAlignment="1" applyProtection="1"/>
    <xf numFmtId="0" fontId="28" fillId="17" borderId="4" xfId="9" applyNumberFormat="1" applyFont="1" applyFill="1" applyBorder="1" applyAlignment="1" applyProtection="1"/>
    <xf numFmtId="0" fontId="20" fillId="17" borderId="4" xfId="9" applyFont="1" applyFill="1" applyBorder="1"/>
    <xf numFmtId="0" fontId="20" fillId="17" borderId="4" xfId="9" applyNumberFormat="1" applyFont="1" applyFill="1" applyBorder="1" applyAlignment="1" applyProtection="1">
      <alignment horizontal="left" vertical="center"/>
    </xf>
    <xf numFmtId="0" fontId="0" fillId="19" borderId="4" xfId="0" applyFill="1" applyBorder="1"/>
    <xf numFmtId="0" fontId="4" fillId="19" borderId="4" xfId="9" applyNumberFormat="1" applyFill="1" applyBorder="1" applyAlignment="1" applyProtection="1"/>
    <xf numFmtId="0" fontId="4" fillId="19" borderId="25" xfId="9" applyNumberFormat="1" applyFill="1" applyBorder="1" applyAlignment="1" applyProtection="1"/>
    <xf numFmtId="0" fontId="21" fillId="17" borderId="4" xfId="9" applyFont="1" applyFill="1" applyBorder="1"/>
    <xf numFmtId="0" fontId="22" fillId="17" borderId="4" xfId="9" applyFont="1" applyFill="1" applyBorder="1" applyAlignment="1">
      <alignment horizontal="center" vertical="top"/>
    </xf>
    <xf numFmtId="0" fontId="20" fillId="17" borderId="4" xfId="9" applyNumberFormat="1" applyFont="1" applyFill="1" applyBorder="1" applyAlignment="1" applyProtection="1"/>
    <xf numFmtId="0" fontId="4" fillId="15" borderId="4" xfId="11" applyNumberFormat="1" applyBorder="1" applyAlignment="1" applyProtection="1">
      <alignment vertical="center"/>
    </xf>
    <xf numFmtId="0" fontId="4" fillId="15" borderId="4" xfId="11" applyNumberFormat="1" applyBorder="1" applyAlignment="1" applyProtection="1">
      <alignment horizontal="left"/>
    </xf>
    <xf numFmtId="0" fontId="4" fillId="15" borderId="4" xfId="11" applyNumberFormat="1" applyBorder="1" applyAlignment="1" applyProtection="1">
      <alignment horizontal="left" vertical="top"/>
    </xf>
    <xf numFmtId="0" fontId="4" fillId="15" borderId="4" xfId="11" applyNumberFormat="1" applyBorder="1" applyAlignment="1" applyProtection="1"/>
    <xf numFmtId="0" fontId="4" fillId="15" borderId="1" xfId="11" applyNumberFormat="1" applyBorder="1" applyAlignment="1" applyProtection="1">
      <alignment horizontal="center"/>
    </xf>
    <xf numFmtId="14" fontId="4" fillId="15" borderId="1" xfId="11" applyNumberFormat="1" applyBorder="1" applyAlignment="1" applyProtection="1">
      <alignment horizontal="right"/>
    </xf>
    <xf numFmtId="0" fontId="35" fillId="15" borderId="1" xfId="10" applyFill="1" applyBorder="1" applyAlignment="1">
      <alignment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4" fillId="15" borderId="3" xfId="11" applyBorder="1" applyAlignment="1">
      <alignment horizontal="left"/>
    </xf>
    <xf numFmtId="0" fontId="4" fillId="15" borderId="2" xfId="11" applyBorder="1" applyAlignment="1">
      <alignment horizontal="left"/>
    </xf>
    <xf numFmtId="0" fontId="4" fillId="15" borderId="2" xfId="11" applyBorder="1"/>
    <xf numFmtId="0" fontId="4" fillId="15" borderId="5" xfId="11" applyBorder="1" applyAlignment="1">
      <alignment horizontal="center" vertical="center"/>
    </xf>
    <xf numFmtId="0" fontId="4" fillId="15" borderId="5" xfId="11" applyBorder="1" applyAlignment="1">
      <alignment horizontal="left" vertical="center"/>
    </xf>
    <xf numFmtId="0" fontId="4" fillId="15" borderId="4" xfId="11" applyBorder="1" applyAlignment="1">
      <alignment horizontal="center" vertical="center"/>
    </xf>
    <xf numFmtId="0" fontId="4" fillId="15" borderId="4" xfId="11" applyBorder="1" applyAlignment="1">
      <alignment vertical="center"/>
    </xf>
    <xf numFmtId="0" fontId="4" fillId="15" borderId="4" xfId="11" applyBorder="1" applyAlignment="1">
      <alignment horizontal="left" vertical="center"/>
    </xf>
    <xf numFmtId="0" fontId="4" fillId="15" borderId="4" xfId="11" applyBorder="1" applyAlignment="1">
      <alignment horizontal="left" vertical="top"/>
    </xf>
    <xf numFmtId="0" fontId="4" fillId="15" borderId="4" xfId="11" applyBorder="1" applyAlignment="1">
      <alignment horizontal="left" vertical="top" wrapText="1"/>
    </xf>
    <xf numFmtId="0" fontId="4" fillId="15" borderId="4" xfId="11" applyBorder="1" applyAlignment="1">
      <alignment horizontal="left"/>
    </xf>
    <xf numFmtId="0" fontId="37" fillId="9" borderId="1" xfId="7" applyFont="1" applyBorder="1"/>
    <xf numFmtId="0" fontId="39" fillId="7" borderId="3" xfId="0" applyFont="1" applyFill="1" applyBorder="1" applyAlignment="1">
      <alignment horizontal="center" vertical="center"/>
    </xf>
    <xf numFmtId="0" fontId="39" fillId="7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26" fillId="17" borderId="20" xfId="8" applyFont="1" applyFill="1" applyBorder="1" applyAlignment="1">
      <alignment horizontal="center" vertical="center"/>
    </xf>
    <xf numFmtId="0" fontId="26" fillId="17" borderId="0" xfId="8" applyFont="1" applyFill="1" applyBorder="1" applyAlignment="1">
      <alignment horizontal="center" vertical="center"/>
    </xf>
    <xf numFmtId="0" fontId="26" fillId="17" borderId="24" xfId="8" applyFont="1" applyFill="1" applyBorder="1" applyAlignment="1">
      <alignment horizontal="center" vertical="center"/>
    </xf>
    <xf numFmtId="0" fontId="8" fillId="16" borderId="17" xfId="1" applyFont="1" applyFill="1" applyBorder="1" applyAlignment="1">
      <alignment horizontal="center" vertical="center"/>
    </xf>
    <xf numFmtId="0" fontId="8" fillId="16" borderId="18" xfId="1" applyFont="1" applyFill="1" applyBorder="1" applyAlignment="1">
      <alignment horizontal="center" vertical="center"/>
    </xf>
    <xf numFmtId="0" fontId="8" fillId="16" borderId="19" xfId="1" applyFont="1" applyFill="1" applyBorder="1" applyAlignment="1">
      <alignment horizontal="center" vertical="center"/>
    </xf>
    <xf numFmtId="0" fontId="8" fillId="16" borderId="20" xfId="1" applyFont="1" applyFill="1" applyBorder="1" applyAlignment="1">
      <alignment horizontal="center" vertical="center"/>
    </xf>
    <xf numFmtId="0" fontId="8" fillId="16" borderId="0" xfId="1" applyFont="1" applyFill="1" applyBorder="1" applyAlignment="1">
      <alignment horizontal="center" vertical="center"/>
    </xf>
    <xf numFmtId="0" fontId="8" fillId="16" borderId="21" xfId="1" applyFont="1" applyFill="1" applyBorder="1" applyAlignment="1">
      <alignment horizontal="center" vertical="center"/>
    </xf>
    <xf numFmtId="0" fontId="8" fillId="16" borderId="22" xfId="1" applyFont="1" applyFill="1" applyBorder="1" applyAlignment="1">
      <alignment horizontal="center" vertical="center"/>
    </xf>
    <xf numFmtId="0" fontId="8" fillId="16" borderId="16" xfId="1" applyFont="1" applyFill="1" applyBorder="1" applyAlignment="1">
      <alignment horizontal="center" vertical="center"/>
    </xf>
    <xf numFmtId="0" fontId="8" fillId="16" borderId="23" xfId="1" applyFont="1" applyFill="1" applyBorder="1" applyAlignment="1">
      <alignment horizontal="center" vertical="center"/>
    </xf>
    <xf numFmtId="0" fontId="34" fillId="19" borderId="1" xfId="2" applyFont="1" applyFill="1" applyAlignment="1">
      <alignment horizontal="center" vertical="center"/>
    </xf>
    <xf numFmtId="0" fontId="5" fillId="19" borderId="1" xfId="2" applyFill="1" applyAlignment="1">
      <alignment horizontal="center" vertical="center"/>
    </xf>
    <xf numFmtId="0" fontId="33" fillId="19" borderId="0" xfId="1" applyFont="1" applyFill="1" applyAlignment="1">
      <alignment horizontal="center" vertical="center"/>
    </xf>
    <xf numFmtId="0" fontId="1" fillId="19" borderId="0" xfId="1" applyFill="1" applyAlignment="1">
      <alignment horizontal="center" vertical="center"/>
    </xf>
    <xf numFmtId="0" fontId="1" fillId="19" borderId="15" xfId="1" applyFill="1" applyBorder="1" applyAlignment="1">
      <alignment horizontal="center" vertical="center"/>
    </xf>
    <xf numFmtId="0" fontId="17" fillId="20" borderId="12" xfId="4" applyFont="1" applyFill="1" applyBorder="1" applyAlignment="1">
      <alignment horizontal="center"/>
    </xf>
    <xf numFmtId="0" fontId="4" fillId="20" borderId="13" xfId="4" applyFill="1" applyBorder="1" applyAlignment="1">
      <alignment horizontal="center"/>
    </xf>
    <xf numFmtId="0" fontId="4" fillId="20" borderId="14" xfId="4" applyFill="1" applyBorder="1" applyAlignment="1">
      <alignment horizontal="center"/>
    </xf>
    <xf numFmtId="0" fontId="27" fillId="19" borderId="9" xfId="5" applyFont="1" applyFill="1" applyBorder="1" applyAlignment="1">
      <alignment horizontal="center" vertical="center"/>
    </xf>
    <xf numFmtId="0" fontId="4" fillId="19" borderId="10" xfId="5" applyFill="1" applyBorder="1" applyAlignment="1">
      <alignment horizontal="center" vertical="center"/>
    </xf>
    <xf numFmtId="0" fontId="4" fillId="19" borderId="11" xfId="5" applyFill="1" applyBorder="1" applyAlignment="1">
      <alignment horizontal="center" vertical="center"/>
    </xf>
    <xf numFmtId="0" fontId="30" fillId="19" borderId="6" xfId="5" applyFont="1" applyFill="1" applyBorder="1" applyAlignment="1">
      <alignment horizontal="center" vertical="center"/>
    </xf>
    <xf numFmtId="0" fontId="4" fillId="19" borderId="7" xfId="5" applyFill="1" applyBorder="1" applyAlignment="1">
      <alignment horizontal="center" vertical="center"/>
    </xf>
    <xf numFmtId="0" fontId="4" fillId="19" borderId="8" xfId="5" applyFill="1" applyBorder="1" applyAlignment="1">
      <alignment horizontal="center" vertical="center"/>
    </xf>
    <xf numFmtId="0" fontId="31" fillId="19" borderId="0" xfId="4" applyFont="1" applyFill="1" applyBorder="1" applyAlignment="1">
      <alignment horizontal="center" vertical="center"/>
    </xf>
    <xf numFmtId="0" fontId="31" fillId="19" borderId="21" xfId="4" applyFont="1" applyFill="1" applyBorder="1" applyAlignment="1">
      <alignment horizontal="center" vertical="center"/>
    </xf>
    <xf numFmtId="0" fontId="29" fillId="19" borderId="4" xfId="5" applyFont="1" applyFill="1" applyBorder="1" applyAlignment="1">
      <alignment horizontal="center" vertical="center"/>
    </xf>
    <xf numFmtId="0" fontId="4" fillId="19" borderId="4" xfId="5" applyFill="1" applyBorder="1" applyAlignment="1">
      <alignment horizontal="center" vertical="center"/>
    </xf>
    <xf numFmtId="0" fontId="31" fillId="19" borderId="1" xfId="5" applyNumberFormat="1" applyFont="1" applyFill="1" applyBorder="1" applyAlignment="1" applyProtection="1">
      <alignment horizontal="center"/>
    </xf>
    <xf numFmtId="0" fontId="4" fillId="19" borderId="1" xfId="5" applyNumberFormat="1" applyFill="1" applyBorder="1" applyAlignment="1" applyProtection="1">
      <alignment horizontal="center"/>
    </xf>
  </cellXfs>
  <cellStyles count="12">
    <cellStyle name="20% - Accent1" xfId="11" builtinId="30"/>
    <cellStyle name="20% - Accent3" xfId="7" builtinId="38"/>
    <cellStyle name="20% - Accent6" xfId="3" builtinId="50"/>
    <cellStyle name="40% - Accent3" xfId="8" builtinId="39"/>
    <cellStyle name="40% - Accent6" xfId="4" builtinId="51"/>
    <cellStyle name="60% - Accent3" xfId="9" builtinId="40"/>
    <cellStyle name="60% - Accent6" xfId="5" builtinId="52"/>
    <cellStyle name="Good" xfId="1" builtinId="26"/>
    <cellStyle name="Hyperlink" xfId="10" builtinId="8"/>
    <cellStyle name="Normal" xfId="0" builtinId="0"/>
    <cellStyle name="Normal 2" xfId="6" xr:uid="{43367ABB-3DD7-4490-9892-039276E67F27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LOSS!A1"/><Relationship Id="rId3" Type="http://schemas.openxmlformats.org/officeDocument/2006/relationships/hyperlink" Target="#S.DATA!A1"/><Relationship Id="rId7" Type="http://schemas.openxmlformats.org/officeDocument/2006/relationships/hyperlink" Target="#OVERDUES!A1"/><Relationship Id="rId2" Type="http://schemas.openxmlformats.org/officeDocument/2006/relationships/hyperlink" Target="https://ucp.edu.pk/facilities/ucp-library/" TargetMode="External"/><Relationship Id="rId1" Type="http://schemas.openxmlformats.org/officeDocument/2006/relationships/image" Target="../media/image1.jpg"/><Relationship Id="rId6" Type="http://schemas.openxmlformats.org/officeDocument/2006/relationships/hyperlink" Target="#'BOOK INFO'!A1"/><Relationship Id="rId5" Type="http://schemas.openxmlformats.org/officeDocument/2006/relationships/hyperlink" Target="#B.BOOKS!A1"/><Relationship Id="rId4" Type="http://schemas.openxmlformats.org/officeDocument/2006/relationships/hyperlink" Target="#L.RECO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541020</xdr:colOff>
      <xdr:row>28</xdr:row>
      <xdr:rowOff>63490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11934C-8749-22C6-E068-A22F781FE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0" y="0"/>
          <a:ext cx="14561820" cy="5184130"/>
        </a:xfrm>
        <a:prstGeom prst="rect">
          <a:avLst/>
        </a:prstGeom>
      </xdr:spPr>
    </xdr:pic>
    <xdr:clientData/>
  </xdr:twoCellAnchor>
  <xdr:twoCellAnchor>
    <xdr:from>
      <xdr:col>5</xdr:col>
      <xdr:colOff>15240</xdr:colOff>
      <xdr:row>6</xdr:row>
      <xdr:rowOff>129540</xdr:rowOff>
    </xdr:from>
    <xdr:to>
      <xdr:col>7</xdr:col>
      <xdr:colOff>563880</xdr:colOff>
      <xdr:row>9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EFCD2A-7A35-BBCE-F7DC-16D69B1FD705}"/>
            </a:ext>
          </a:extLst>
        </xdr:cNvPr>
        <xdr:cNvSpPr/>
      </xdr:nvSpPr>
      <xdr:spPr>
        <a:xfrm>
          <a:off x="3063240" y="1226820"/>
          <a:ext cx="1767840" cy="41910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STD.</a:t>
          </a:r>
          <a:r>
            <a:rPr lang="en-US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DATA</a:t>
          </a:r>
        </a:p>
        <a:p>
          <a:pPr algn="ctr"/>
          <a:endParaRPr lang="en-US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502920</xdr:colOff>
      <xdr:row>6</xdr:row>
      <xdr:rowOff>160020</xdr:rowOff>
    </xdr:from>
    <xdr:to>
      <xdr:col>11</xdr:col>
      <xdr:colOff>495300</xdr:colOff>
      <xdr:row>9</xdr:row>
      <xdr:rowOff>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D7B1BA-12B8-C16C-A0F8-11BE1674661A}"/>
            </a:ext>
          </a:extLst>
        </xdr:cNvPr>
        <xdr:cNvSpPr/>
      </xdr:nvSpPr>
      <xdr:spPr>
        <a:xfrm>
          <a:off x="5379720" y="1257300"/>
          <a:ext cx="1821180" cy="38862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L.RECORD</a:t>
          </a:r>
        </a:p>
      </xdr:txBody>
    </xdr:sp>
    <xdr:clientData/>
  </xdr:twoCellAnchor>
  <xdr:twoCellAnchor>
    <xdr:from>
      <xdr:col>4</xdr:col>
      <xdr:colOff>586740</xdr:colOff>
      <xdr:row>11</xdr:row>
      <xdr:rowOff>167640</xdr:rowOff>
    </xdr:from>
    <xdr:to>
      <xdr:col>7</xdr:col>
      <xdr:colOff>579120</xdr:colOff>
      <xdr:row>14</xdr:row>
      <xdr:rowOff>7620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D093A4-AFDD-4889-986C-89577A2802ED}"/>
            </a:ext>
          </a:extLst>
        </xdr:cNvPr>
        <xdr:cNvSpPr/>
      </xdr:nvSpPr>
      <xdr:spPr>
        <a:xfrm>
          <a:off x="3025140" y="2179320"/>
          <a:ext cx="1821180" cy="38862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B.BOOKS</a:t>
          </a:r>
        </a:p>
      </xdr:txBody>
    </xdr:sp>
    <xdr:clientData/>
  </xdr:twoCellAnchor>
  <xdr:twoCellAnchor>
    <xdr:from>
      <xdr:col>12</xdr:col>
      <xdr:colOff>472440</xdr:colOff>
      <xdr:row>6</xdr:row>
      <xdr:rowOff>152400</xdr:rowOff>
    </xdr:from>
    <xdr:to>
      <xdr:col>15</xdr:col>
      <xdr:colOff>464820</xdr:colOff>
      <xdr:row>8</xdr:row>
      <xdr:rowOff>175260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19722A-AB25-4675-BB4A-4E17B2F6AD00}"/>
            </a:ext>
          </a:extLst>
        </xdr:cNvPr>
        <xdr:cNvSpPr/>
      </xdr:nvSpPr>
      <xdr:spPr>
        <a:xfrm>
          <a:off x="7787640" y="1249680"/>
          <a:ext cx="1821180" cy="38862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BOOK</a:t>
          </a:r>
          <a:r>
            <a:rPr lang="en-US" sz="16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INFO</a:t>
          </a:r>
          <a:endParaRPr lang="en-US" sz="16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556260</xdr:colOff>
      <xdr:row>11</xdr:row>
      <xdr:rowOff>152400</xdr:rowOff>
    </xdr:from>
    <xdr:to>
      <xdr:col>11</xdr:col>
      <xdr:colOff>548640</xdr:colOff>
      <xdr:row>13</xdr:row>
      <xdr:rowOff>175260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E4037B-C551-4611-9DEC-1F1A0CDD210B}"/>
            </a:ext>
          </a:extLst>
        </xdr:cNvPr>
        <xdr:cNvSpPr/>
      </xdr:nvSpPr>
      <xdr:spPr>
        <a:xfrm>
          <a:off x="5433060" y="2164080"/>
          <a:ext cx="1821180" cy="38862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OVERDUES</a:t>
          </a:r>
        </a:p>
      </xdr:txBody>
    </xdr:sp>
    <xdr:clientData/>
  </xdr:twoCellAnchor>
  <xdr:twoCellAnchor>
    <xdr:from>
      <xdr:col>12</xdr:col>
      <xdr:colOff>495300</xdr:colOff>
      <xdr:row>11</xdr:row>
      <xdr:rowOff>152400</xdr:rowOff>
    </xdr:from>
    <xdr:to>
      <xdr:col>15</xdr:col>
      <xdr:colOff>487680</xdr:colOff>
      <xdr:row>13</xdr:row>
      <xdr:rowOff>175260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F413FB7-CACF-41D0-AD9C-56A19191A789}"/>
            </a:ext>
          </a:extLst>
        </xdr:cNvPr>
        <xdr:cNvSpPr/>
      </xdr:nvSpPr>
      <xdr:spPr>
        <a:xfrm>
          <a:off x="7810500" y="2164080"/>
          <a:ext cx="1821180" cy="38862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269488</xdr:colOff>
      <xdr:row>5</xdr:row>
      <xdr:rowOff>362415</xdr:rowOff>
    </xdr:from>
    <xdr:to>
      <xdr:col>0</xdr:col>
      <xdr:colOff>771293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E3129-7DD2-DE2B-2661-9CE88FB03248}"/>
            </a:ext>
          </a:extLst>
        </xdr:cNvPr>
        <xdr:cNvSpPr/>
      </xdr:nvSpPr>
      <xdr:spPr>
        <a:xfrm>
          <a:off x="269488" y="1291683"/>
          <a:ext cx="501805" cy="408878"/>
        </a:xfrm>
        <a:prstGeom prst="lef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99608</xdr:colOff>
      <xdr:row>4</xdr:row>
      <xdr:rowOff>39844</xdr:rowOff>
    </xdr:from>
    <xdr:to>
      <xdr:col>0</xdr:col>
      <xdr:colOff>517961</xdr:colOff>
      <xdr:row>5</xdr:row>
      <xdr:rowOff>104588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55602-6F45-CACD-6531-4A9609B3051F}"/>
            </a:ext>
          </a:extLst>
        </xdr:cNvPr>
        <xdr:cNvSpPr/>
      </xdr:nvSpPr>
      <xdr:spPr>
        <a:xfrm>
          <a:off x="99608" y="776942"/>
          <a:ext cx="418353" cy="249019"/>
        </a:xfrm>
        <a:prstGeom prst="lef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237344</xdr:colOff>
      <xdr:row>5</xdr:row>
      <xdr:rowOff>362263</xdr:rowOff>
    </xdr:from>
    <xdr:to>
      <xdr:col>0</xdr:col>
      <xdr:colOff>1011836</xdr:colOff>
      <xdr:row>7</xdr:row>
      <xdr:rowOff>74951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4933D-EBCF-C862-0934-52C120B8073C}"/>
            </a:ext>
          </a:extLst>
        </xdr:cNvPr>
        <xdr:cNvSpPr/>
      </xdr:nvSpPr>
      <xdr:spPr>
        <a:xfrm>
          <a:off x="237344" y="1548984"/>
          <a:ext cx="774492" cy="574623"/>
        </a:xfrm>
        <a:prstGeom prst="lef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227724</xdr:colOff>
      <xdr:row>6</xdr:row>
      <xdr:rowOff>70069</xdr:rowOff>
    </xdr:from>
    <xdr:to>
      <xdr:col>0</xdr:col>
      <xdr:colOff>753241</xdr:colOff>
      <xdr:row>8</xdr:row>
      <xdr:rowOff>52552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C6058-1271-A0A8-B627-5C50388E1EB9}"/>
            </a:ext>
          </a:extLst>
        </xdr:cNvPr>
        <xdr:cNvSpPr/>
      </xdr:nvSpPr>
      <xdr:spPr>
        <a:xfrm>
          <a:off x="227724" y="1217448"/>
          <a:ext cx="525517" cy="350345"/>
        </a:xfrm>
        <a:prstGeom prst="leftArrow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</xdr:row>
      <xdr:rowOff>160020</xdr:rowOff>
    </xdr:from>
    <xdr:to>
      <xdr:col>0</xdr:col>
      <xdr:colOff>944880</xdr:colOff>
      <xdr:row>6</xdr:row>
      <xdr:rowOff>15240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BC133-93CB-5237-B3CF-7C2B128B421F}"/>
            </a:ext>
          </a:extLst>
        </xdr:cNvPr>
        <xdr:cNvSpPr/>
      </xdr:nvSpPr>
      <xdr:spPr>
        <a:xfrm>
          <a:off x="129540" y="990600"/>
          <a:ext cx="815340" cy="472440"/>
        </a:xfrm>
        <a:prstGeom prst="leftArrow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5</xdr:row>
      <xdr:rowOff>91440</xdr:rowOff>
    </xdr:from>
    <xdr:to>
      <xdr:col>0</xdr:col>
      <xdr:colOff>784860</xdr:colOff>
      <xdr:row>7</xdr:row>
      <xdr:rowOff>114300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A54A1-46E6-3D3B-B4CC-AEDF8452981C}"/>
            </a:ext>
          </a:extLst>
        </xdr:cNvPr>
        <xdr:cNvSpPr/>
      </xdr:nvSpPr>
      <xdr:spPr>
        <a:xfrm>
          <a:off x="175260" y="1005840"/>
          <a:ext cx="609600" cy="388620"/>
        </a:xfrm>
        <a:prstGeom prst="leftArrow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de1@gmail.com" TargetMode="External"/><Relationship Id="rId13" Type="http://schemas.openxmlformats.org/officeDocument/2006/relationships/hyperlink" Target="mailto:abde2@gmail.com" TargetMode="External"/><Relationship Id="rId18" Type="http://schemas.openxmlformats.org/officeDocument/2006/relationships/hyperlink" Target="mailto:abde2@gmail.com" TargetMode="External"/><Relationship Id="rId3" Type="http://schemas.openxmlformats.org/officeDocument/2006/relationships/hyperlink" Target="mailto:abde1@gmail.com" TargetMode="External"/><Relationship Id="rId21" Type="http://schemas.openxmlformats.org/officeDocument/2006/relationships/hyperlink" Target="mailto:abde2@gmail.com" TargetMode="External"/><Relationship Id="rId7" Type="http://schemas.openxmlformats.org/officeDocument/2006/relationships/hyperlink" Target="mailto:abde1@gmail.com" TargetMode="External"/><Relationship Id="rId12" Type="http://schemas.openxmlformats.org/officeDocument/2006/relationships/hyperlink" Target="mailto:abde2@gmail.com" TargetMode="External"/><Relationship Id="rId17" Type="http://schemas.openxmlformats.org/officeDocument/2006/relationships/hyperlink" Target="mailto:abde2@gmail.com" TargetMode="External"/><Relationship Id="rId2" Type="http://schemas.openxmlformats.org/officeDocument/2006/relationships/hyperlink" Target="mailto:abde2@gmail.com" TargetMode="External"/><Relationship Id="rId16" Type="http://schemas.openxmlformats.org/officeDocument/2006/relationships/hyperlink" Target="mailto:abde2@gmail.com" TargetMode="External"/><Relationship Id="rId20" Type="http://schemas.openxmlformats.org/officeDocument/2006/relationships/hyperlink" Target="mailto:abde2@gmail.com" TargetMode="External"/><Relationship Id="rId1" Type="http://schemas.openxmlformats.org/officeDocument/2006/relationships/hyperlink" Target="mailto:abde1@gmail.com" TargetMode="External"/><Relationship Id="rId6" Type="http://schemas.openxmlformats.org/officeDocument/2006/relationships/hyperlink" Target="mailto:abde1@gmail.com" TargetMode="External"/><Relationship Id="rId11" Type="http://schemas.openxmlformats.org/officeDocument/2006/relationships/hyperlink" Target="mailto:abde1@gmail.com" TargetMode="External"/><Relationship Id="rId5" Type="http://schemas.openxmlformats.org/officeDocument/2006/relationships/hyperlink" Target="mailto:abde1@gmail.com" TargetMode="External"/><Relationship Id="rId15" Type="http://schemas.openxmlformats.org/officeDocument/2006/relationships/hyperlink" Target="mailto:abde2@gmail.com" TargetMode="External"/><Relationship Id="rId10" Type="http://schemas.openxmlformats.org/officeDocument/2006/relationships/hyperlink" Target="mailto:abde1@gmail.com" TargetMode="External"/><Relationship Id="rId19" Type="http://schemas.openxmlformats.org/officeDocument/2006/relationships/hyperlink" Target="mailto:abde2@gmail.com" TargetMode="External"/><Relationship Id="rId4" Type="http://schemas.openxmlformats.org/officeDocument/2006/relationships/hyperlink" Target="mailto:abde1@gmail.com" TargetMode="External"/><Relationship Id="rId9" Type="http://schemas.openxmlformats.org/officeDocument/2006/relationships/hyperlink" Target="mailto:abde1@gmail.com" TargetMode="External"/><Relationship Id="rId14" Type="http://schemas.openxmlformats.org/officeDocument/2006/relationships/hyperlink" Target="mailto:abde2@gmail.com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bde2@gmail.com" TargetMode="External"/><Relationship Id="rId3" Type="http://schemas.openxmlformats.org/officeDocument/2006/relationships/hyperlink" Target="mailto:abde1@gmail.com" TargetMode="External"/><Relationship Id="rId7" Type="http://schemas.openxmlformats.org/officeDocument/2006/relationships/hyperlink" Target="mailto:abde2@gmail.com" TargetMode="External"/><Relationship Id="rId2" Type="http://schemas.openxmlformats.org/officeDocument/2006/relationships/hyperlink" Target="mailto:abde2@gmail.com" TargetMode="External"/><Relationship Id="rId1" Type="http://schemas.openxmlformats.org/officeDocument/2006/relationships/hyperlink" Target="mailto:abde1@gmail.com" TargetMode="External"/><Relationship Id="rId6" Type="http://schemas.openxmlformats.org/officeDocument/2006/relationships/hyperlink" Target="mailto:abde1@gmail.com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abde1@gmail.com" TargetMode="External"/><Relationship Id="rId10" Type="http://schemas.openxmlformats.org/officeDocument/2006/relationships/hyperlink" Target="mailto:abde2@gmail.com" TargetMode="External"/><Relationship Id="rId4" Type="http://schemas.openxmlformats.org/officeDocument/2006/relationships/hyperlink" Target="mailto:abde1@gmail.com" TargetMode="External"/><Relationship Id="rId9" Type="http://schemas.openxmlformats.org/officeDocument/2006/relationships/hyperlink" Target="mailto:abde2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ACD5-687D-4AC6-AEF4-5CE48C02EF4A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8EDD-A735-41A3-BCD7-F3E3B47994B4}">
  <dimension ref="B1:Q28"/>
  <sheetViews>
    <sheetView zoomScale="77" zoomScaleNormal="100" workbookViewId="0">
      <selection activeCell="I9" sqref="I9"/>
    </sheetView>
  </sheetViews>
  <sheetFormatPr defaultRowHeight="14.4"/>
  <cols>
    <col min="1" max="1" width="15" customWidth="1"/>
    <col min="3" max="4" width="15.77734375" customWidth="1"/>
    <col min="5" max="5" width="13.21875" customWidth="1"/>
    <col min="6" max="6" width="7.5546875" bestFit="1" customWidth="1"/>
    <col min="7" max="7" width="9.5546875" customWidth="1"/>
    <col min="8" max="8" width="18.6640625" customWidth="1"/>
    <col min="9" max="9" width="19.6640625" customWidth="1"/>
    <col min="10" max="10" width="18.21875" customWidth="1"/>
    <col min="11" max="11" width="17.109375" bestFit="1" customWidth="1"/>
    <col min="13" max="13" width="12.109375" customWidth="1"/>
    <col min="14" max="14" width="14.6640625" customWidth="1"/>
    <col min="15" max="15" width="16.44140625" customWidth="1"/>
    <col min="16" max="16" width="18" customWidth="1"/>
    <col min="17" max="17" width="17.6640625" customWidth="1"/>
  </cols>
  <sheetData>
    <row r="1" spans="2:17" ht="14.4" customHeight="1">
      <c r="B1" s="112" t="s">
        <v>246</v>
      </c>
      <c r="C1" s="113"/>
      <c r="D1" s="113"/>
      <c r="E1" s="113"/>
      <c r="F1" s="113"/>
      <c r="G1" s="113"/>
      <c r="H1" s="113"/>
      <c r="I1" s="113"/>
      <c r="J1" s="113"/>
      <c r="K1" s="114"/>
    </row>
    <row r="2" spans="2:17">
      <c r="B2" s="115"/>
      <c r="C2" s="116"/>
      <c r="D2" s="116"/>
      <c r="E2" s="116"/>
      <c r="F2" s="116"/>
      <c r="G2" s="116"/>
      <c r="H2" s="116"/>
      <c r="I2" s="116"/>
      <c r="J2" s="116"/>
      <c r="K2" s="117"/>
    </row>
    <row r="3" spans="2:17">
      <c r="B3" s="115"/>
      <c r="C3" s="116"/>
      <c r="D3" s="116"/>
      <c r="E3" s="116"/>
      <c r="F3" s="116"/>
      <c r="G3" s="116"/>
      <c r="H3" s="116"/>
      <c r="I3" s="116"/>
      <c r="J3" s="116"/>
      <c r="K3" s="117"/>
    </row>
    <row r="4" spans="2:17">
      <c r="B4" s="115"/>
      <c r="C4" s="116"/>
      <c r="D4" s="116"/>
      <c r="E4" s="116"/>
      <c r="F4" s="116"/>
      <c r="G4" s="116"/>
      <c r="H4" s="116"/>
      <c r="I4" s="116"/>
      <c r="J4" s="116"/>
      <c r="K4" s="117"/>
    </row>
    <row r="5" spans="2:17">
      <c r="B5" s="118"/>
      <c r="C5" s="119"/>
      <c r="D5" s="119"/>
      <c r="E5" s="119"/>
      <c r="F5" s="119"/>
      <c r="G5" s="119"/>
      <c r="H5" s="119"/>
      <c r="I5" s="119"/>
      <c r="J5" s="119"/>
      <c r="K5" s="120"/>
    </row>
    <row r="6" spans="2:17" ht="31.8" customHeight="1">
      <c r="B6" s="109" t="s">
        <v>54</v>
      </c>
      <c r="C6" s="110"/>
      <c r="D6" s="110"/>
      <c r="E6" s="110"/>
      <c r="F6" s="110"/>
      <c r="G6" s="110"/>
      <c r="H6" s="110"/>
      <c r="I6" s="110"/>
      <c r="J6" s="110"/>
      <c r="K6" s="111"/>
    </row>
    <row r="7" spans="2:17">
      <c r="B7" s="43" t="s">
        <v>270</v>
      </c>
      <c r="C7" s="44" t="s">
        <v>0</v>
      </c>
      <c r="D7" s="44" t="s">
        <v>30</v>
      </c>
      <c r="E7" s="44" t="s">
        <v>1</v>
      </c>
      <c r="F7" s="44" t="s">
        <v>31</v>
      </c>
      <c r="G7" s="44" t="s">
        <v>29</v>
      </c>
      <c r="H7" s="44" t="s">
        <v>25</v>
      </c>
      <c r="I7" s="44" t="s">
        <v>26</v>
      </c>
      <c r="J7" s="44" t="s">
        <v>32</v>
      </c>
      <c r="K7" s="44" t="s">
        <v>53</v>
      </c>
      <c r="M7" s="48" t="s">
        <v>270</v>
      </c>
      <c r="N7" s="49" t="s">
        <v>1</v>
      </c>
      <c r="O7" s="49" t="s">
        <v>0</v>
      </c>
      <c r="P7" s="49" t="s">
        <v>25</v>
      </c>
      <c r="Q7" s="49" t="s">
        <v>26</v>
      </c>
    </row>
    <row r="8" spans="2:17" ht="16.2">
      <c r="B8" s="41">
        <v>1</v>
      </c>
      <c r="C8" s="106" t="s">
        <v>277</v>
      </c>
      <c r="D8" s="105" t="s">
        <v>298</v>
      </c>
      <c r="E8" s="47" t="s">
        <v>2</v>
      </c>
      <c r="F8" s="7" t="s">
        <v>22</v>
      </c>
      <c r="G8" s="45" t="s">
        <v>203</v>
      </c>
      <c r="H8" s="20">
        <v>9234567901</v>
      </c>
      <c r="I8" s="91" t="s">
        <v>27</v>
      </c>
      <c r="J8" s="7" t="s">
        <v>33</v>
      </c>
      <c r="K8" s="47" t="s">
        <v>248</v>
      </c>
      <c r="M8" s="32">
        <v>15</v>
      </c>
      <c r="N8" s="32" t="str">
        <f>VLOOKUP(M8,$B$7:$K$28,4,0)</f>
        <v>LGU-BSCS-15</v>
      </c>
      <c r="O8" s="32" t="str">
        <f>VLOOKUP(M8,$B$7:$K$28,2,0)</f>
        <v>Abdulla</v>
      </c>
      <c r="P8" s="32">
        <f>VLOOKUP(M8,$B$7:$K$28,7,0)</f>
        <v>9234567915</v>
      </c>
      <c r="Q8" s="32" t="str">
        <f>VLOOKUP(M8,$B$7:$K$28,8,0)</f>
        <v>abde1@gmail.com</v>
      </c>
    </row>
    <row r="9" spans="2:17" ht="16.2">
      <c r="B9" s="41">
        <v>2</v>
      </c>
      <c r="C9" s="107" t="s">
        <v>278</v>
      </c>
      <c r="D9" s="105" t="s">
        <v>299</v>
      </c>
      <c r="E9" s="47" t="s">
        <v>3</v>
      </c>
      <c r="F9" s="7" t="s">
        <v>22</v>
      </c>
      <c r="G9" s="45" t="s">
        <v>203</v>
      </c>
      <c r="H9" s="7">
        <v>9234567902</v>
      </c>
      <c r="I9" s="47" t="s">
        <v>28</v>
      </c>
      <c r="J9" s="7" t="s">
        <v>34</v>
      </c>
      <c r="K9" s="47" t="s">
        <v>249</v>
      </c>
      <c r="M9" s="32">
        <v>7</v>
      </c>
      <c r="N9" s="32" t="str">
        <f t="shared" ref="N9:N10" si="0">VLOOKUP(M9,$B$7:$K$28,4,0)</f>
        <v>LGU-BSCS-7</v>
      </c>
      <c r="O9" s="32" t="str">
        <f t="shared" ref="O9:O10" si="1">VLOOKUP(M9,$B$7:$K$28,2,0)</f>
        <v>komal</v>
      </c>
      <c r="P9" s="32">
        <f t="shared" ref="P9:P10" si="2">VLOOKUP(M9,$B$7:$K$28,7,0)</f>
        <v>9234567907</v>
      </c>
      <c r="Q9" s="32" t="str">
        <f t="shared" ref="Q9:Q10" si="3">VLOOKUP(M9,$B$7:$K$28,8,0)</f>
        <v>abde1@gmail.com</v>
      </c>
    </row>
    <row r="10" spans="2:17" ht="16.2">
      <c r="B10" s="41">
        <v>3</v>
      </c>
      <c r="C10" s="107" t="s">
        <v>279</v>
      </c>
      <c r="D10" s="105" t="s">
        <v>300</v>
      </c>
      <c r="E10" s="47" t="s">
        <v>4</v>
      </c>
      <c r="F10" s="7" t="s">
        <v>22</v>
      </c>
      <c r="G10" s="45" t="s">
        <v>203</v>
      </c>
      <c r="H10" s="7">
        <v>9234567903</v>
      </c>
      <c r="I10" s="46" t="s">
        <v>27</v>
      </c>
      <c r="J10" s="7" t="s">
        <v>35</v>
      </c>
      <c r="K10" s="47" t="s">
        <v>250</v>
      </c>
      <c r="M10" s="32">
        <v>8</v>
      </c>
      <c r="N10" s="32" t="str">
        <f t="shared" si="0"/>
        <v>LGU-BSCS-8</v>
      </c>
      <c r="O10" s="32" t="str">
        <f t="shared" si="1"/>
        <v>Umer</v>
      </c>
      <c r="P10" s="32">
        <f t="shared" si="2"/>
        <v>9234567908</v>
      </c>
      <c r="Q10" s="32" t="str">
        <f t="shared" si="3"/>
        <v>abde2@gmail.com</v>
      </c>
    </row>
    <row r="11" spans="2:17" ht="16.2">
      <c r="B11" s="41">
        <v>4</v>
      </c>
      <c r="C11" s="107" t="s">
        <v>280</v>
      </c>
      <c r="D11" s="105" t="s">
        <v>301</v>
      </c>
      <c r="E11" s="47" t="s">
        <v>5</v>
      </c>
      <c r="F11" s="7" t="s">
        <v>22</v>
      </c>
      <c r="G11" s="45" t="s">
        <v>203</v>
      </c>
      <c r="H11" s="7">
        <v>9234567904</v>
      </c>
      <c r="I11" s="47" t="s">
        <v>28</v>
      </c>
      <c r="J11" s="7" t="s">
        <v>36</v>
      </c>
      <c r="K11" s="47" t="s">
        <v>251</v>
      </c>
    </row>
    <row r="12" spans="2:17" ht="16.2">
      <c r="B12" s="41">
        <v>5</v>
      </c>
      <c r="C12" s="107" t="s">
        <v>281</v>
      </c>
      <c r="D12" s="105" t="s">
        <v>302</v>
      </c>
      <c r="E12" s="47" t="s">
        <v>6</v>
      </c>
      <c r="F12" s="7" t="s">
        <v>22</v>
      </c>
      <c r="G12" s="45" t="s">
        <v>203</v>
      </c>
      <c r="H12" s="7">
        <v>9234567905</v>
      </c>
      <c r="I12" s="46" t="s">
        <v>27</v>
      </c>
      <c r="J12" s="7" t="s">
        <v>37</v>
      </c>
      <c r="K12" s="47" t="s">
        <v>252</v>
      </c>
    </row>
    <row r="13" spans="2:17" ht="16.2">
      <c r="B13" s="41">
        <v>6</v>
      </c>
      <c r="C13" s="107" t="s">
        <v>282</v>
      </c>
      <c r="D13" s="105" t="s">
        <v>303</v>
      </c>
      <c r="E13" s="47" t="s">
        <v>7</v>
      </c>
      <c r="F13" s="7" t="s">
        <v>22</v>
      </c>
      <c r="G13" s="45" t="s">
        <v>203</v>
      </c>
      <c r="H13" s="7">
        <v>9234567906</v>
      </c>
      <c r="I13" s="47" t="s">
        <v>28</v>
      </c>
      <c r="J13" s="7" t="s">
        <v>38</v>
      </c>
      <c r="K13" s="47" t="s">
        <v>253</v>
      </c>
    </row>
    <row r="14" spans="2:17" ht="16.2">
      <c r="B14" s="41">
        <v>7</v>
      </c>
      <c r="C14" s="107" t="s">
        <v>283</v>
      </c>
      <c r="D14" s="105" t="s">
        <v>304</v>
      </c>
      <c r="E14" s="47" t="s">
        <v>8</v>
      </c>
      <c r="F14" s="7" t="s">
        <v>22</v>
      </c>
      <c r="G14" s="45" t="s">
        <v>203</v>
      </c>
      <c r="H14" s="7">
        <v>9234567907</v>
      </c>
      <c r="I14" s="46" t="s">
        <v>27</v>
      </c>
      <c r="J14" s="7" t="s">
        <v>39</v>
      </c>
      <c r="K14" s="47" t="s">
        <v>254</v>
      </c>
    </row>
    <row r="15" spans="2:17" ht="16.2">
      <c r="B15" s="41">
        <v>8</v>
      </c>
      <c r="C15" s="107" t="s">
        <v>284</v>
      </c>
      <c r="D15" s="105" t="s">
        <v>285</v>
      </c>
      <c r="E15" s="47" t="s">
        <v>9</v>
      </c>
      <c r="F15" s="7" t="s">
        <v>23</v>
      </c>
      <c r="G15" s="45" t="s">
        <v>203</v>
      </c>
      <c r="H15" s="7">
        <v>9234567908</v>
      </c>
      <c r="I15" s="47" t="s">
        <v>28</v>
      </c>
      <c r="J15" s="7" t="s">
        <v>40</v>
      </c>
      <c r="K15" s="47" t="s">
        <v>255</v>
      </c>
    </row>
    <row r="16" spans="2:17" ht="16.2">
      <c r="B16" s="41">
        <v>9</v>
      </c>
      <c r="C16" s="107" t="s">
        <v>285</v>
      </c>
      <c r="D16" s="105" t="s">
        <v>305</v>
      </c>
      <c r="E16" s="47" t="s">
        <v>10</v>
      </c>
      <c r="F16" s="7" t="s">
        <v>23</v>
      </c>
      <c r="G16" s="45" t="s">
        <v>203</v>
      </c>
      <c r="H16" s="7">
        <v>9234567909</v>
      </c>
      <c r="I16" s="46" t="s">
        <v>27</v>
      </c>
      <c r="J16" s="7" t="s">
        <v>41</v>
      </c>
      <c r="K16" s="47" t="s">
        <v>256</v>
      </c>
    </row>
    <row r="17" spans="2:11" ht="16.2">
      <c r="B17" s="41">
        <v>10</v>
      </c>
      <c r="C17" s="107" t="s">
        <v>286</v>
      </c>
      <c r="D17" s="105" t="s">
        <v>306</v>
      </c>
      <c r="E17" s="47" t="s">
        <v>11</v>
      </c>
      <c r="F17" s="7" t="s">
        <v>23</v>
      </c>
      <c r="G17" s="45" t="s">
        <v>203</v>
      </c>
      <c r="H17" s="7">
        <v>9234567910</v>
      </c>
      <c r="I17" s="47" t="s">
        <v>28</v>
      </c>
      <c r="J17" s="7" t="s">
        <v>42</v>
      </c>
      <c r="K17" s="47" t="s">
        <v>257</v>
      </c>
    </row>
    <row r="18" spans="2:11" ht="16.2">
      <c r="B18" s="41">
        <v>11</v>
      </c>
      <c r="C18" s="107" t="s">
        <v>287</v>
      </c>
      <c r="D18" s="105" t="s">
        <v>307</v>
      </c>
      <c r="E18" s="47" t="s">
        <v>12</v>
      </c>
      <c r="F18" s="7" t="s">
        <v>23</v>
      </c>
      <c r="G18" s="45" t="s">
        <v>203</v>
      </c>
      <c r="H18" s="7">
        <v>9234567911</v>
      </c>
      <c r="I18" s="46" t="s">
        <v>27</v>
      </c>
      <c r="J18" s="7" t="s">
        <v>43</v>
      </c>
      <c r="K18" s="47" t="s">
        <v>258</v>
      </c>
    </row>
    <row r="19" spans="2:11" ht="16.2">
      <c r="B19" s="41">
        <v>12</v>
      </c>
      <c r="C19" s="107" t="s">
        <v>288</v>
      </c>
      <c r="D19" s="105" t="s">
        <v>277</v>
      </c>
      <c r="E19" s="47" t="s">
        <v>13</v>
      </c>
      <c r="F19" s="7" t="s">
        <v>23</v>
      </c>
      <c r="G19" s="45" t="s">
        <v>203</v>
      </c>
      <c r="H19" s="7">
        <v>9234567912</v>
      </c>
      <c r="I19" s="47" t="s">
        <v>28</v>
      </c>
      <c r="J19" s="7" t="s">
        <v>44</v>
      </c>
      <c r="K19" s="47" t="s">
        <v>259</v>
      </c>
    </row>
    <row r="20" spans="2:11" ht="16.2">
      <c r="B20" s="41">
        <v>13</v>
      </c>
      <c r="C20" s="107" t="s">
        <v>289</v>
      </c>
      <c r="D20" s="105" t="s">
        <v>308</v>
      </c>
      <c r="E20" s="47" t="s">
        <v>14</v>
      </c>
      <c r="F20" s="7" t="s">
        <v>23</v>
      </c>
      <c r="G20" s="45" t="s">
        <v>203</v>
      </c>
      <c r="H20" s="7">
        <v>9234567913</v>
      </c>
      <c r="I20" s="46" t="s">
        <v>27</v>
      </c>
      <c r="J20" s="7" t="s">
        <v>45</v>
      </c>
      <c r="K20" s="47" t="s">
        <v>260</v>
      </c>
    </row>
    <row r="21" spans="2:11" ht="16.2">
      <c r="B21" s="41">
        <v>14</v>
      </c>
      <c r="C21" s="107" t="s">
        <v>290</v>
      </c>
      <c r="D21" s="105" t="s">
        <v>284</v>
      </c>
      <c r="E21" s="47" t="s">
        <v>15</v>
      </c>
      <c r="F21" s="7" t="s">
        <v>24</v>
      </c>
      <c r="G21" s="45" t="s">
        <v>203</v>
      </c>
      <c r="H21" s="7">
        <v>9234567914</v>
      </c>
      <c r="I21" s="47" t="s">
        <v>28</v>
      </c>
      <c r="J21" s="7" t="s">
        <v>46</v>
      </c>
      <c r="K21" s="47" t="s">
        <v>261</v>
      </c>
    </row>
    <row r="22" spans="2:11" ht="16.2">
      <c r="B22" s="41">
        <v>15</v>
      </c>
      <c r="C22" s="106" t="s">
        <v>291</v>
      </c>
      <c r="D22" s="105" t="s">
        <v>309</v>
      </c>
      <c r="E22" s="47" t="s">
        <v>16</v>
      </c>
      <c r="F22" s="7" t="s">
        <v>24</v>
      </c>
      <c r="G22" s="45" t="s">
        <v>203</v>
      </c>
      <c r="H22" s="7">
        <v>9234567915</v>
      </c>
      <c r="I22" s="46" t="s">
        <v>27</v>
      </c>
      <c r="J22" s="7" t="s">
        <v>47</v>
      </c>
      <c r="K22" s="47" t="s">
        <v>262</v>
      </c>
    </row>
    <row r="23" spans="2:11" ht="16.2">
      <c r="B23" s="41">
        <v>16</v>
      </c>
      <c r="C23" s="107" t="s">
        <v>292</v>
      </c>
      <c r="D23" s="105" t="s">
        <v>310</v>
      </c>
      <c r="E23" s="47" t="s">
        <v>17</v>
      </c>
      <c r="F23" s="7" t="s">
        <v>24</v>
      </c>
      <c r="G23" s="45" t="s">
        <v>203</v>
      </c>
      <c r="H23" s="7">
        <v>9234567916</v>
      </c>
      <c r="I23" s="47" t="s">
        <v>28</v>
      </c>
      <c r="J23" s="7" t="s">
        <v>48</v>
      </c>
      <c r="K23" s="47" t="s">
        <v>263</v>
      </c>
    </row>
    <row r="24" spans="2:11" ht="16.2">
      <c r="B24" s="41">
        <v>17</v>
      </c>
      <c r="C24" s="107" t="s">
        <v>293</v>
      </c>
      <c r="D24" s="105" t="s">
        <v>311</v>
      </c>
      <c r="E24" s="47" t="s">
        <v>18</v>
      </c>
      <c r="F24" s="7" t="s">
        <v>24</v>
      </c>
      <c r="G24" s="45" t="s">
        <v>203</v>
      </c>
      <c r="H24" s="7">
        <v>9234567917</v>
      </c>
      <c r="I24" s="46" t="s">
        <v>27</v>
      </c>
      <c r="J24" s="7" t="s">
        <v>49</v>
      </c>
      <c r="K24" s="47" t="s">
        <v>264</v>
      </c>
    </row>
    <row r="25" spans="2:11" ht="16.2">
      <c r="B25" s="42">
        <v>18</v>
      </c>
      <c r="C25" s="107" t="s">
        <v>294</v>
      </c>
      <c r="D25" s="105" t="s">
        <v>312</v>
      </c>
      <c r="E25" s="47" t="s">
        <v>19</v>
      </c>
      <c r="F25" s="7" t="s">
        <v>24</v>
      </c>
      <c r="G25" s="45" t="s">
        <v>203</v>
      </c>
      <c r="H25" s="7">
        <v>9234567918</v>
      </c>
      <c r="I25" s="47" t="s">
        <v>28</v>
      </c>
      <c r="J25" s="7" t="s">
        <v>50</v>
      </c>
      <c r="K25" s="47" t="s">
        <v>265</v>
      </c>
    </row>
    <row r="26" spans="2:11" ht="16.2">
      <c r="B26" s="42">
        <v>19</v>
      </c>
      <c r="C26" s="107" t="s">
        <v>295</v>
      </c>
      <c r="D26" s="105" t="s">
        <v>313</v>
      </c>
      <c r="E26" s="47" t="s">
        <v>20</v>
      </c>
      <c r="F26" s="7" t="s">
        <v>24</v>
      </c>
      <c r="G26" s="45" t="s">
        <v>203</v>
      </c>
      <c r="H26" s="7">
        <v>9234567919</v>
      </c>
      <c r="I26" s="46" t="s">
        <v>27</v>
      </c>
      <c r="J26" s="7" t="s">
        <v>51</v>
      </c>
      <c r="K26" s="47" t="s">
        <v>266</v>
      </c>
    </row>
    <row r="27" spans="2:11" ht="16.2">
      <c r="B27" s="41">
        <v>20</v>
      </c>
      <c r="C27" s="107" t="s">
        <v>296</v>
      </c>
      <c r="D27" s="105" t="s">
        <v>314</v>
      </c>
      <c r="E27" s="47" t="s">
        <v>21</v>
      </c>
      <c r="F27" s="7" t="s">
        <v>24</v>
      </c>
      <c r="G27" s="45" t="s">
        <v>203</v>
      </c>
      <c r="H27" s="7">
        <v>9234567920</v>
      </c>
      <c r="I27" s="47" t="s">
        <v>28</v>
      </c>
      <c r="J27" s="7" t="s">
        <v>52</v>
      </c>
      <c r="K27" s="47" t="s">
        <v>267</v>
      </c>
    </row>
    <row r="28" spans="2:11" ht="16.2">
      <c r="B28" s="41">
        <v>21</v>
      </c>
      <c r="C28" s="108" t="s">
        <v>297</v>
      </c>
      <c r="D28" s="105" t="s">
        <v>315</v>
      </c>
      <c r="E28" s="47" t="s">
        <v>274</v>
      </c>
      <c r="F28" s="7" t="s">
        <v>22</v>
      </c>
      <c r="G28" s="45" t="s">
        <v>203</v>
      </c>
      <c r="H28" s="7">
        <v>9234567920</v>
      </c>
      <c r="I28" s="47" t="s">
        <v>28</v>
      </c>
      <c r="J28" s="7" t="s">
        <v>275</v>
      </c>
      <c r="K28" s="47" t="s">
        <v>276</v>
      </c>
    </row>
  </sheetData>
  <mergeCells count="2">
    <mergeCell ref="B6:K6"/>
    <mergeCell ref="B1:K5"/>
  </mergeCells>
  <phoneticPr fontId="2" type="noConversion"/>
  <conditionalFormatting sqref="B1 B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I8" r:id="rId1" xr:uid="{06101DAD-07D6-4FA7-9FB0-9637471DC9C7}"/>
    <hyperlink ref="I9" r:id="rId2" xr:uid="{C2FF8AE5-B3C4-4FD7-B90B-ADDCE0F41DE1}"/>
    <hyperlink ref="I10" r:id="rId3" xr:uid="{5D5A4572-74FC-4F11-8BA7-87D24FB2D26A}"/>
    <hyperlink ref="I12" r:id="rId4" xr:uid="{AAED6D74-49DD-4BF2-870A-27F8DF0D64B3}"/>
    <hyperlink ref="I14" r:id="rId5" xr:uid="{23D12DF8-BDF4-4287-9BC6-C66F8CD60C98}"/>
    <hyperlink ref="I16" r:id="rId6" xr:uid="{9B0390DA-90A6-4A26-BF4C-1126F4F61349}"/>
    <hyperlink ref="I18" r:id="rId7" xr:uid="{6FEE8465-09D8-47CD-A944-93BE46B67BDD}"/>
    <hyperlink ref="I20" r:id="rId8" xr:uid="{A2A5E09C-CED6-4D4B-9139-5A29D5B190C9}"/>
    <hyperlink ref="I22" r:id="rId9" xr:uid="{C694E7A7-0FCB-4E97-BFBA-C4E9CFC0D2D2}"/>
    <hyperlink ref="I24" r:id="rId10" xr:uid="{AA7A325B-A2B7-4ED2-AEA7-445B45230CC4}"/>
    <hyperlink ref="I26" r:id="rId11" xr:uid="{EE99CFD2-6B49-4E55-B847-38A4B8B9CD13}"/>
    <hyperlink ref="I11" r:id="rId12" xr:uid="{01DE8B5F-2770-4C00-A029-2F11EF9D6375}"/>
    <hyperlink ref="I13" r:id="rId13" xr:uid="{716DF681-8984-4372-BBEC-7968E71E1712}"/>
    <hyperlink ref="I15" r:id="rId14" xr:uid="{2FD4CBA6-4BE8-44E6-BBFB-1A7FE47FDC07}"/>
    <hyperlink ref="I17" r:id="rId15" xr:uid="{B733A617-0FCA-4EBF-99F2-17DF21D1A8E8}"/>
    <hyperlink ref="I19" r:id="rId16" xr:uid="{E1C9C6B8-1F5A-4605-8F70-533E7E12BE81}"/>
    <hyperlink ref="I21" r:id="rId17" xr:uid="{D2FA71C4-A067-4414-824D-D7BFD7390366}"/>
    <hyperlink ref="I23" r:id="rId18" xr:uid="{C8585F3E-2493-4547-BFC6-83E6C2741293}"/>
    <hyperlink ref="I25" r:id="rId19" xr:uid="{59DBD19C-F32D-4011-9141-973D5C971B41}"/>
    <hyperlink ref="I27" r:id="rId20" xr:uid="{50A09C66-3CE5-4A36-B03B-0D86D39664BD}"/>
    <hyperlink ref="I28" r:id="rId21" xr:uid="{9FF671BE-346E-40AF-92FF-678E382ED70B}"/>
  </hyperlinks>
  <pageMargins left="0.7" right="0.7" top="0.75" bottom="0.75" header="0.3" footer="0.3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DF80-2E70-4886-AFB1-B2108DB474DD}">
  <dimension ref="B1:N25"/>
  <sheetViews>
    <sheetView zoomScale="111" zoomScaleNormal="153" workbookViewId="0">
      <selection activeCell="N7" sqref="N7"/>
    </sheetView>
  </sheetViews>
  <sheetFormatPr defaultRowHeight="14.4"/>
  <cols>
    <col min="1" max="1" width="10.5546875" customWidth="1"/>
    <col min="2" max="2" width="6.109375" customWidth="1"/>
    <col min="3" max="3" width="11" customWidth="1"/>
    <col min="4" max="4" width="15.109375" customWidth="1"/>
    <col min="5" max="5" width="16.33203125" customWidth="1"/>
    <col min="6" max="6" width="16.44140625" customWidth="1"/>
    <col min="7" max="7" width="16.77734375" customWidth="1"/>
    <col min="12" max="12" width="15.44140625" bestFit="1" customWidth="1"/>
    <col min="13" max="13" width="13.77734375" bestFit="1" customWidth="1"/>
    <col min="14" max="14" width="16.5546875" bestFit="1" customWidth="1"/>
  </cols>
  <sheetData>
    <row r="1" spans="2:14" ht="14.4" customHeight="1">
      <c r="B1" s="121" t="s">
        <v>243</v>
      </c>
      <c r="C1" s="122"/>
      <c r="D1" s="122"/>
      <c r="E1" s="122"/>
      <c r="F1" s="122"/>
      <c r="G1" s="122"/>
    </row>
    <row r="2" spans="2:14" ht="14.4" customHeight="1">
      <c r="B2" s="122"/>
      <c r="C2" s="122"/>
      <c r="D2" s="122"/>
      <c r="E2" s="122"/>
      <c r="F2" s="122"/>
      <c r="G2" s="122"/>
    </row>
    <row r="3" spans="2:14" ht="14.4" customHeight="1">
      <c r="B3" s="122"/>
      <c r="C3" s="122"/>
      <c r="D3" s="122"/>
      <c r="E3" s="122"/>
      <c r="F3" s="122"/>
      <c r="G3" s="122"/>
    </row>
    <row r="4" spans="2:14" ht="14.4" customHeight="1">
      <c r="B4" s="122"/>
      <c r="C4" s="122"/>
      <c r="D4" s="122"/>
      <c r="E4" s="122"/>
      <c r="F4" s="122"/>
      <c r="G4" s="122"/>
    </row>
    <row r="5" spans="2:14">
      <c r="B5" s="50" t="s">
        <v>268</v>
      </c>
      <c r="C5" s="51" t="s">
        <v>55</v>
      </c>
      <c r="D5" s="50" t="s">
        <v>56</v>
      </c>
      <c r="E5" s="50" t="s">
        <v>32</v>
      </c>
      <c r="F5" s="50" t="s">
        <v>25</v>
      </c>
      <c r="G5" s="50" t="s">
        <v>68</v>
      </c>
      <c r="I5" s="50" t="s">
        <v>268</v>
      </c>
      <c r="J5" s="51" t="s">
        <v>55</v>
      </c>
      <c r="K5" s="50" t="s">
        <v>56</v>
      </c>
      <c r="L5" s="50" t="s">
        <v>32</v>
      </c>
      <c r="M5" s="50" t="s">
        <v>25</v>
      </c>
      <c r="N5" s="50" t="s">
        <v>68</v>
      </c>
    </row>
    <row r="6" spans="2:14" ht="16.8">
      <c r="B6" s="45">
        <v>1</v>
      </c>
      <c r="C6" s="7" t="s">
        <v>69</v>
      </c>
      <c r="D6" s="92" t="s">
        <v>277</v>
      </c>
      <c r="E6" s="7" t="s">
        <v>67</v>
      </c>
      <c r="F6" s="47" t="s">
        <v>57</v>
      </c>
      <c r="G6" s="30" t="s">
        <v>27</v>
      </c>
      <c r="I6">
        <v>1</v>
      </c>
      <c r="J6" t="str">
        <f>VLOOKUP(I6,$B$5:$G$16,2,0)</f>
        <v>LGU-L-1</v>
      </c>
      <c r="K6" t="str">
        <f>VLOOKUP(I6,$B$5:$G$16,3,0)</f>
        <v>Ali</v>
      </c>
      <c r="L6" t="str">
        <f>VLOOKUP(I6,$B$5:$G$16,4,0)</f>
        <v>35200-0784938-1</v>
      </c>
      <c r="M6" t="str">
        <f>VLOOKUP(I6,$B$5:$G$16,5,0)</f>
        <v>92-3114718776</v>
      </c>
      <c r="N6" t="str">
        <f>VLOOKUP(I6,$B$5:$G$16,6,0)</f>
        <v>abde1@gmail.com</v>
      </c>
    </row>
    <row r="7" spans="2:14" ht="16.8">
      <c r="B7" s="52">
        <v>2</v>
      </c>
      <c r="C7" s="7" t="s">
        <v>70</v>
      </c>
      <c r="D7" s="93" t="s">
        <v>278</v>
      </c>
      <c r="E7" s="7" t="s">
        <v>34</v>
      </c>
      <c r="F7" s="47" t="s">
        <v>58</v>
      </c>
      <c r="G7" s="7" t="s">
        <v>28</v>
      </c>
    </row>
    <row r="8" spans="2:14" ht="16.8">
      <c r="B8" s="45">
        <v>3</v>
      </c>
      <c r="C8" s="7" t="s">
        <v>71</v>
      </c>
      <c r="D8" s="93" t="s">
        <v>279</v>
      </c>
      <c r="E8" s="7" t="s">
        <v>35</v>
      </c>
      <c r="F8" s="47" t="s">
        <v>59</v>
      </c>
      <c r="G8" s="30" t="s">
        <v>27</v>
      </c>
    </row>
    <row r="9" spans="2:14" ht="16.8">
      <c r="B9" s="52">
        <v>4</v>
      </c>
      <c r="C9" s="7" t="s">
        <v>72</v>
      </c>
      <c r="D9" s="93" t="s">
        <v>280</v>
      </c>
      <c r="E9" s="7" t="s">
        <v>36</v>
      </c>
      <c r="F9" s="47" t="s">
        <v>60</v>
      </c>
      <c r="G9" s="7" t="s">
        <v>28</v>
      </c>
    </row>
    <row r="10" spans="2:14" ht="16.8">
      <c r="B10" s="45">
        <v>5</v>
      </c>
      <c r="C10" s="7" t="s">
        <v>73</v>
      </c>
      <c r="D10" s="93" t="s">
        <v>281</v>
      </c>
      <c r="E10" s="7" t="s">
        <v>37</v>
      </c>
      <c r="F10" s="47" t="s">
        <v>61</v>
      </c>
      <c r="G10" s="30" t="s">
        <v>27</v>
      </c>
    </row>
    <row r="11" spans="2:14" ht="16.8">
      <c r="B11" s="52">
        <v>6</v>
      </c>
      <c r="C11" s="7" t="s">
        <v>74</v>
      </c>
      <c r="D11" s="93" t="s">
        <v>282</v>
      </c>
      <c r="E11" s="7" t="s">
        <v>38</v>
      </c>
      <c r="F11" s="47" t="s">
        <v>62</v>
      </c>
      <c r="G11" s="7" t="s">
        <v>28</v>
      </c>
    </row>
    <row r="12" spans="2:14" ht="16.8">
      <c r="B12" s="45">
        <v>7</v>
      </c>
      <c r="C12" s="7" t="s">
        <v>75</v>
      </c>
      <c r="D12" s="93" t="s">
        <v>283</v>
      </c>
      <c r="E12" s="7" t="s">
        <v>39</v>
      </c>
      <c r="F12" s="47" t="s">
        <v>63</v>
      </c>
      <c r="G12" s="30" t="s">
        <v>27</v>
      </c>
    </row>
    <row r="13" spans="2:14" ht="16.8">
      <c r="B13" s="52">
        <v>8</v>
      </c>
      <c r="C13" s="7" t="s">
        <v>76</v>
      </c>
      <c r="D13" s="93" t="s">
        <v>284</v>
      </c>
      <c r="E13" s="7" t="s">
        <v>40</v>
      </c>
      <c r="F13" s="47" t="s">
        <v>64</v>
      </c>
      <c r="G13" s="7" t="s">
        <v>28</v>
      </c>
    </row>
    <row r="14" spans="2:14" ht="16.8">
      <c r="B14" s="45">
        <v>9</v>
      </c>
      <c r="C14" s="7" t="s">
        <v>77</v>
      </c>
      <c r="D14" s="93" t="s">
        <v>285</v>
      </c>
      <c r="E14" s="7" t="s">
        <v>41</v>
      </c>
      <c r="F14" s="47" t="s">
        <v>65</v>
      </c>
      <c r="G14" s="30" t="s">
        <v>27</v>
      </c>
    </row>
    <row r="15" spans="2:14" ht="16.8">
      <c r="B15" s="52">
        <v>10</v>
      </c>
      <c r="C15" s="7" t="s">
        <v>78</v>
      </c>
      <c r="D15" s="93" t="s">
        <v>286</v>
      </c>
      <c r="E15" s="7" t="s">
        <v>42</v>
      </c>
      <c r="F15" s="47" t="s">
        <v>66</v>
      </c>
      <c r="G15" s="7" t="s">
        <v>28</v>
      </c>
    </row>
    <row r="16" spans="2:14" ht="16.8">
      <c r="B16" s="47"/>
      <c r="C16" s="7"/>
      <c r="D16" s="93" t="s">
        <v>287</v>
      </c>
      <c r="E16" s="7"/>
      <c r="F16" s="31"/>
      <c r="G16" s="7"/>
    </row>
    <row r="17" spans="5:5">
      <c r="E17" s="1"/>
    </row>
    <row r="19" spans="5:5">
      <c r="E19" s="1"/>
    </row>
    <row r="21" spans="5:5">
      <c r="E21" s="1"/>
    </row>
    <row r="23" spans="5:5">
      <c r="E23" s="1"/>
    </row>
    <row r="25" spans="5:5">
      <c r="E25" s="1"/>
    </row>
  </sheetData>
  <mergeCells count="1">
    <mergeCell ref="B1:G4"/>
  </mergeCells>
  <phoneticPr fontId="2" type="noConversion"/>
  <hyperlinks>
    <hyperlink ref="G6" r:id="rId1" xr:uid="{7DDE34B7-DDD6-438C-AA35-01194EE363A7}"/>
    <hyperlink ref="G7" r:id="rId2" xr:uid="{10FE2150-04BA-437D-8EF7-414352E2E45D}"/>
    <hyperlink ref="G8" r:id="rId3" xr:uid="{DC2D234F-8992-4CEA-8A4B-5B4D878F642D}"/>
    <hyperlink ref="G10" r:id="rId4" xr:uid="{8B02B09B-F60D-4D7C-AFCC-080388C2226E}"/>
    <hyperlink ref="G12" r:id="rId5" xr:uid="{0A514DDA-BB5E-4746-A861-AB4C40A93288}"/>
    <hyperlink ref="G14" r:id="rId6" xr:uid="{E9325CC1-1C89-4242-9D76-58FACBE61A79}"/>
    <hyperlink ref="G9" r:id="rId7" xr:uid="{09FF6A94-A1DB-49A8-BC2C-2AEE61A09743}"/>
    <hyperlink ref="G11" r:id="rId8" xr:uid="{270E8D00-3F36-4EDC-A542-C16B9A362FB5}"/>
    <hyperlink ref="G13" r:id="rId9" xr:uid="{31EDCB5D-2205-43B0-B14D-5DC8425D3CAE}"/>
    <hyperlink ref="G15" r:id="rId10" xr:uid="{735F645F-1091-4DC3-86FE-4656D77FB413}"/>
  </hyperlink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7CD0-2D42-4905-9AD5-1A1C8A74C856}">
  <dimension ref="B1:L70"/>
  <sheetViews>
    <sheetView zoomScale="61" workbookViewId="0">
      <selection activeCell="E7" sqref="E7"/>
    </sheetView>
  </sheetViews>
  <sheetFormatPr defaultRowHeight="14.4"/>
  <cols>
    <col min="1" max="1" width="19.33203125" customWidth="1"/>
    <col min="2" max="2" width="10.88671875" customWidth="1"/>
    <col min="3" max="3" width="59.33203125" customWidth="1"/>
    <col min="4" max="4" width="31.33203125" customWidth="1"/>
    <col min="5" max="5" width="21.33203125" bestFit="1" customWidth="1"/>
    <col min="6" max="6" width="19.44140625" customWidth="1"/>
    <col min="7" max="7" width="16.5546875" customWidth="1"/>
    <col min="9" max="9" width="13.44140625" customWidth="1"/>
    <col min="10" max="10" width="52.109375" customWidth="1"/>
    <col min="11" max="11" width="29.6640625" customWidth="1"/>
    <col min="12" max="12" width="26" customWidth="1"/>
    <col min="13" max="13" width="22.21875" customWidth="1"/>
    <col min="14" max="14" width="20" customWidth="1"/>
  </cols>
  <sheetData>
    <row r="1" spans="2:12">
      <c r="B1" s="123" t="s">
        <v>79</v>
      </c>
      <c r="C1" s="124"/>
      <c r="D1" s="124"/>
      <c r="E1" s="124"/>
      <c r="F1" s="124"/>
      <c r="G1" s="124"/>
    </row>
    <row r="2" spans="2:12">
      <c r="B2" s="124"/>
      <c r="C2" s="124"/>
      <c r="D2" s="124"/>
      <c r="E2" s="124"/>
      <c r="F2" s="124"/>
      <c r="G2" s="124"/>
    </row>
    <row r="3" spans="2:12">
      <c r="B3" s="124"/>
      <c r="C3" s="124"/>
      <c r="D3" s="124"/>
      <c r="E3" s="124"/>
      <c r="F3" s="124"/>
      <c r="G3" s="124"/>
    </row>
    <row r="4" spans="2:12">
      <c r="B4" s="125"/>
      <c r="C4" s="125"/>
      <c r="D4" s="125"/>
      <c r="E4" s="125"/>
      <c r="F4" s="125"/>
      <c r="G4" s="125"/>
    </row>
    <row r="5" spans="2:12" ht="34.200000000000003" customHeight="1">
      <c r="B5" s="126" t="s">
        <v>269</v>
      </c>
      <c r="C5" s="127"/>
      <c r="D5" s="127"/>
      <c r="E5" s="127"/>
      <c r="F5" s="127"/>
      <c r="G5" s="128"/>
    </row>
    <row r="6" spans="2:12" ht="51.6" customHeight="1">
      <c r="B6" s="56" t="s">
        <v>80</v>
      </c>
      <c r="C6" s="57" t="s">
        <v>81</v>
      </c>
      <c r="D6" s="58" t="s">
        <v>82</v>
      </c>
      <c r="E6" s="56" t="s">
        <v>83</v>
      </c>
      <c r="F6" s="56" t="s">
        <v>84</v>
      </c>
      <c r="G6" s="56" t="s">
        <v>85</v>
      </c>
      <c r="I6" s="53" t="s">
        <v>80</v>
      </c>
      <c r="J6" s="54" t="s">
        <v>81</v>
      </c>
      <c r="K6" s="55" t="s">
        <v>82</v>
      </c>
      <c r="L6" s="53" t="s">
        <v>83</v>
      </c>
    </row>
    <row r="7" spans="2:12" ht="16.8">
      <c r="B7" s="59">
        <v>1</v>
      </c>
      <c r="C7" s="2" t="s">
        <v>86</v>
      </c>
      <c r="D7" s="94" t="s">
        <v>87</v>
      </c>
      <c r="E7" s="3">
        <f ca="1">10-LOSS!E7</f>
        <v>2</v>
      </c>
      <c r="F7" s="59" t="s">
        <v>88</v>
      </c>
      <c r="G7" s="3">
        <f ca="1">RANDBETWEEN(1,2)</f>
        <v>2</v>
      </c>
      <c r="I7" s="32">
        <v>1</v>
      </c>
      <c r="J7" s="32" t="str">
        <f>VLOOKUP(I7,$B$6:$G$70,2,0)</f>
        <v>Introduction to Computer Science Using Python</v>
      </c>
      <c r="K7" s="32" t="str">
        <f>VLOOKUP(I7,$B$6:$G$70,3,0)</f>
        <v>Charles dierbatch</v>
      </c>
      <c r="L7" s="32">
        <f ca="1">VLOOKUP(I7,$B$6:$G$70,4,0)</f>
        <v>2</v>
      </c>
    </row>
    <row r="8" spans="2:12" ht="16.8">
      <c r="B8" s="60">
        <v>2</v>
      </c>
      <c r="C8" s="4" t="s">
        <v>89</v>
      </c>
      <c r="D8" s="95" t="s">
        <v>90</v>
      </c>
      <c r="E8" s="3">
        <f ca="1">10-LOSS!E8</f>
        <v>6</v>
      </c>
      <c r="F8" s="60" t="s">
        <v>88</v>
      </c>
      <c r="G8" s="3">
        <f t="shared" ref="G8:G26" ca="1" si="0">RANDBETWEEN(1,2)</f>
        <v>1</v>
      </c>
      <c r="I8" s="32">
        <v>5</v>
      </c>
      <c r="J8" s="32" t="str">
        <f>VLOOKUP(I8,$B$6:$G$70,2,0)</f>
        <v xml:space="preserve">The Pragmetic Programmer </v>
      </c>
      <c r="K8" s="32" t="str">
        <f t="shared" ref="K8:K9" si="1">VLOOKUP(I8,$B$6:$G$70,3,0)</f>
        <v>Andrew Hunt</v>
      </c>
      <c r="L8" s="32">
        <f t="shared" ref="L8:L9" ca="1" si="2">VLOOKUP(I8,$B$6:$G$70,4,0)</f>
        <v>4</v>
      </c>
    </row>
    <row r="9" spans="2:12" ht="16.8">
      <c r="B9" s="60">
        <v>3</v>
      </c>
      <c r="C9" s="5" t="s">
        <v>91</v>
      </c>
      <c r="D9" s="95" t="s">
        <v>92</v>
      </c>
      <c r="E9" s="3">
        <f ca="1">10-LOSS!E9</f>
        <v>5</v>
      </c>
      <c r="F9" s="60" t="s">
        <v>88</v>
      </c>
      <c r="G9" s="3">
        <f t="shared" ca="1" si="0"/>
        <v>1</v>
      </c>
      <c r="I9" s="32">
        <v>1</v>
      </c>
      <c r="J9" s="32" t="str">
        <f t="shared" ref="J9" si="3">VLOOKUP(I9,$B$6:$G$70,2,0)</f>
        <v>Introduction to Computer Science Using Python</v>
      </c>
      <c r="K9" s="32" t="str">
        <f t="shared" si="1"/>
        <v>Charles dierbatch</v>
      </c>
      <c r="L9" s="32">
        <f t="shared" ca="1" si="2"/>
        <v>2</v>
      </c>
    </row>
    <row r="10" spans="2:12" ht="16.8">
      <c r="B10" s="60">
        <v>4</v>
      </c>
      <c r="C10" s="6" t="s">
        <v>93</v>
      </c>
      <c r="D10" s="95" t="s">
        <v>94</v>
      </c>
      <c r="E10" s="3">
        <f ca="1">10-LOSS!E10</f>
        <v>9</v>
      </c>
      <c r="F10" s="60" t="s">
        <v>88</v>
      </c>
      <c r="G10" s="3">
        <f t="shared" ca="1" si="0"/>
        <v>2</v>
      </c>
    </row>
    <row r="11" spans="2:12" ht="16.8">
      <c r="B11" s="60">
        <v>5</v>
      </c>
      <c r="C11" s="6" t="s">
        <v>95</v>
      </c>
      <c r="D11" s="95" t="s">
        <v>96</v>
      </c>
      <c r="E11" s="3">
        <f ca="1">10-LOSS!E11</f>
        <v>4</v>
      </c>
      <c r="F11" s="60" t="s">
        <v>88</v>
      </c>
      <c r="G11" s="3">
        <f t="shared" ca="1" si="0"/>
        <v>2</v>
      </c>
    </row>
    <row r="12" spans="2:12" ht="16.8">
      <c r="B12" s="60">
        <v>6</v>
      </c>
      <c r="C12" s="6" t="s">
        <v>97</v>
      </c>
      <c r="D12" s="95" t="s">
        <v>98</v>
      </c>
      <c r="E12" s="3">
        <f ca="1">10-LOSS!E12</f>
        <v>4</v>
      </c>
      <c r="F12" s="60" t="s">
        <v>88</v>
      </c>
      <c r="G12" s="3">
        <f t="shared" ca="1" si="0"/>
        <v>1</v>
      </c>
    </row>
    <row r="13" spans="2:12" ht="16.8">
      <c r="B13" s="60">
        <v>7</v>
      </c>
      <c r="C13" s="6" t="s">
        <v>99</v>
      </c>
      <c r="D13" s="95" t="s">
        <v>100</v>
      </c>
      <c r="E13" s="3">
        <f ca="1">10-LOSS!E13</f>
        <v>7</v>
      </c>
      <c r="F13" s="60" t="s">
        <v>88</v>
      </c>
      <c r="G13" s="3">
        <f t="shared" ca="1" si="0"/>
        <v>1</v>
      </c>
    </row>
    <row r="14" spans="2:12" ht="16.8">
      <c r="B14" s="60">
        <v>8</v>
      </c>
      <c r="C14" s="6" t="s">
        <v>101</v>
      </c>
      <c r="D14" s="95" t="s">
        <v>102</v>
      </c>
      <c r="E14" s="3">
        <f ca="1">10-LOSS!E14</f>
        <v>7</v>
      </c>
      <c r="F14" s="60" t="s">
        <v>88</v>
      </c>
      <c r="G14" s="3">
        <f t="shared" ca="1" si="0"/>
        <v>1</v>
      </c>
    </row>
    <row r="15" spans="2:12" ht="16.8">
      <c r="B15" s="60">
        <v>9</v>
      </c>
      <c r="C15" s="6" t="s">
        <v>103</v>
      </c>
      <c r="D15" s="95" t="s">
        <v>104</v>
      </c>
      <c r="E15" s="3">
        <f ca="1">10-LOSS!E15</f>
        <v>8</v>
      </c>
      <c r="F15" s="60" t="s">
        <v>88</v>
      </c>
      <c r="G15" s="3">
        <f t="shared" ca="1" si="0"/>
        <v>1</v>
      </c>
    </row>
    <row r="16" spans="2:12" ht="16.8">
      <c r="B16" s="60">
        <v>10</v>
      </c>
      <c r="C16" s="6" t="s">
        <v>105</v>
      </c>
      <c r="D16" s="95" t="s">
        <v>106</v>
      </c>
      <c r="E16" s="3">
        <f ca="1">10-LOSS!E16</f>
        <v>2</v>
      </c>
      <c r="F16" s="60" t="s">
        <v>88</v>
      </c>
      <c r="G16" s="3">
        <f t="shared" ca="1" si="0"/>
        <v>2</v>
      </c>
    </row>
    <row r="17" spans="2:7" ht="16.8">
      <c r="B17" s="60">
        <v>11</v>
      </c>
      <c r="C17" s="6" t="s">
        <v>107</v>
      </c>
      <c r="D17" s="96" t="s">
        <v>108</v>
      </c>
      <c r="E17" s="3">
        <f ca="1">10-LOSS!E17</f>
        <v>8</v>
      </c>
      <c r="F17" s="60" t="s">
        <v>88</v>
      </c>
      <c r="G17" s="3">
        <f t="shared" ca="1" si="0"/>
        <v>1</v>
      </c>
    </row>
    <row r="18" spans="2:7" ht="16.8">
      <c r="B18" s="60">
        <v>12</v>
      </c>
      <c r="C18" s="6" t="s">
        <v>109</v>
      </c>
      <c r="D18" s="95" t="s">
        <v>110</v>
      </c>
      <c r="E18" s="3">
        <f ca="1">10-LOSS!E18</f>
        <v>6</v>
      </c>
      <c r="F18" s="60" t="s">
        <v>88</v>
      </c>
      <c r="G18" s="3">
        <f t="shared" ca="1" si="0"/>
        <v>1</v>
      </c>
    </row>
    <row r="19" spans="2:7" ht="16.8">
      <c r="B19" s="60">
        <v>13</v>
      </c>
      <c r="C19" s="6" t="s">
        <v>111</v>
      </c>
      <c r="D19" s="96" t="s">
        <v>112</v>
      </c>
      <c r="E19" s="3">
        <f ca="1">10-LOSS!E19</f>
        <v>9</v>
      </c>
      <c r="F19" s="60" t="s">
        <v>88</v>
      </c>
      <c r="G19" s="3">
        <f t="shared" ca="1" si="0"/>
        <v>2</v>
      </c>
    </row>
    <row r="20" spans="2:7" ht="16.8">
      <c r="B20" s="60">
        <v>14</v>
      </c>
      <c r="C20" s="6" t="s">
        <v>113</v>
      </c>
      <c r="D20" s="96" t="s">
        <v>114</v>
      </c>
      <c r="E20" s="3">
        <f ca="1">10-LOSS!E20</f>
        <v>4</v>
      </c>
      <c r="F20" s="60" t="s">
        <v>88</v>
      </c>
      <c r="G20" s="3">
        <f t="shared" ca="1" si="0"/>
        <v>2</v>
      </c>
    </row>
    <row r="21" spans="2:7" ht="16.8">
      <c r="B21" s="60">
        <v>15</v>
      </c>
      <c r="C21" s="6" t="s">
        <v>115</v>
      </c>
      <c r="D21" s="95" t="s">
        <v>116</v>
      </c>
      <c r="E21" s="3">
        <f ca="1">10-LOSS!E21</f>
        <v>4</v>
      </c>
      <c r="F21" s="60" t="s">
        <v>88</v>
      </c>
      <c r="G21" s="3">
        <f t="shared" ca="1" si="0"/>
        <v>1</v>
      </c>
    </row>
    <row r="22" spans="2:7" ht="16.8">
      <c r="B22" s="60">
        <v>16</v>
      </c>
      <c r="C22" s="6" t="s">
        <v>117</v>
      </c>
      <c r="D22" s="95" t="s">
        <v>118</v>
      </c>
      <c r="E22" s="3">
        <f ca="1">10-LOSS!E22</f>
        <v>5</v>
      </c>
      <c r="F22" s="60" t="s">
        <v>88</v>
      </c>
      <c r="G22" s="3">
        <f t="shared" ca="1" si="0"/>
        <v>2</v>
      </c>
    </row>
    <row r="23" spans="2:7" ht="16.8">
      <c r="B23" s="60">
        <v>17</v>
      </c>
      <c r="C23" s="6" t="s">
        <v>119</v>
      </c>
      <c r="D23" s="95" t="s">
        <v>120</v>
      </c>
      <c r="E23" s="3">
        <f ca="1">10-LOSS!E23</f>
        <v>4</v>
      </c>
      <c r="F23" s="60" t="s">
        <v>88</v>
      </c>
      <c r="G23" s="3">
        <f t="shared" ca="1" si="0"/>
        <v>1</v>
      </c>
    </row>
    <row r="24" spans="2:7" ht="16.8">
      <c r="B24" s="60">
        <v>18</v>
      </c>
      <c r="C24" s="6" t="s">
        <v>121</v>
      </c>
      <c r="D24" s="95" t="s">
        <v>122</v>
      </c>
      <c r="E24" s="3">
        <f ca="1">10-LOSS!E24</f>
        <v>2</v>
      </c>
      <c r="F24" s="60" t="s">
        <v>88</v>
      </c>
      <c r="G24" s="3">
        <f t="shared" ca="1" si="0"/>
        <v>2</v>
      </c>
    </row>
    <row r="25" spans="2:7" ht="16.8">
      <c r="B25" s="60">
        <v>19</v>
      </c>
      <c r="C25" s="6" t="s">
        <v>123</v>
      </c>
      <c r="D25" s="95" t="s">
        <v>124</v>
      </c>
      <c r="E25" s="3">
        <f ca="1">10-LOSS!E25</f>
        <v>8</v>
      </c>
      <c r="F25" s="60" t="s">
        <v>88</v>
      </c>
      <c r="G25" s="3">
        <f t="shared" ca="1" si="0"/>
        <v>2</v>
      </c>
    </row>
    <row r="26" spans="2:7" ht="17.399999999999999" thickBot="1">
      <c r="B26" s="60">
        <v>20</v>
      </c>
      <c r="C26" s="6" t="s">
        <v>125</v>
      </c>
      <c r="D26" s="95" t="s">
        <v>126</v>
      </c>
      <c r="E26" s="3">
        <f ca="1">10-LOSS!E26</f>
        <v>6</v>
      </c>
      <c r="F26" s="60" t="s">
        <v>88</v>
      </c>
      <c r="G26" s="3">
        <f t="shared" ca="1" si="0"/>
        <v>1</v>
      </c>
    </row>
    <row r="27" spans="2:7" ht="46.2" customHeight="1" thickBot="1">
      <c r="B27" s="129" t="s">
        <v>127</v>
      </c>
      <c r="C27" s="130"/>
      <c r="D27" s="130"/>
      <c r="E27" s="130"/>
      <c r="F27" s="130"/>
      <c r="G27" s="131"/>
    </row>
    <row r="28" spans="2:7" ht="31.2">
      <c r="B28" s="61" t="s">
        <v>80</v>
      </c>
      <c r="C28" s="62" t="s">
        <v>81</v>
      </c>
      <c r="D28" s="63" t="s">
        <v>82</v>
      </c>
      <c r="E28" s="61" t="s">
        <v>83</v>
      </c>
      <c r="F28" s="61" t="s">
        <v>84</v>
      </c>
      <c r="G28" s="61" t="s">
        <v>85</v>
      </c>
    </row>
    <row r="29" spans="2:7" ht="15.6">
      <c r="B29" s="97">
        <v>21</v>
      </c>
      <c r="C29" s="8" t="s">
        <v>128</v>
      </c>
      <c r="D29" s="98" t="s">
        <v>129</v>
      </c>
      <c r="E29" s="10">
        <f ca="1">RANDBETWEEN(1,10)</f>
        <v>7</v>
      </c>
      <c r="F29" s="97" t="s">
        <v>130</v>
      </c>
      <c r="G29" s="10">
        <f ca="1">RANDBETWEEN(3,5)</f>
        <v>5</v>
      </c>
    </row>
    <row r="30" spans="2:7" ht="15.6">
      <c r="B30" s="99">
        <v>22</v>
      </c>
      <c r="C30" s="9" t="s">
        <v>131</v>
      </c>
      <c r="D30" s="101" t="s">
        <v>132</v>
      </c>
      <c r="E30" s="10">
        <f t="shared" ref="E30:E48" ca="1" si="4">RANDBETWEEN(1,10)</f>
        <v>3</v>
      </c>
      <c r="F30" s="99" t="s">
        <v>130</v>
      </c>
      <c r="G30" s="10">
        <f t="shared" ref="G30:G48" ca="1" si="5">RANDBETWEEN(3,5)</f>
        <v>5</v>
      </c>
    </row>
    <row r="31" spans="2:7" ht="15.6">
      <c r="B31" s="97">
        <v>23</v>
      </c>
      <c r="C31" s="9" t="s">
        <v>133</v>
      </c>
      <c r="D31" s="101" t="s">
        <v>134</v>
      </c>
      <c r="E31" s="10">
        <f t="shared" ca="1" si="4"/>
        <v>9</v>
      </c>
      <c r="F31" s="99" t="s">
        <v>130</v>
      </c>
      <c r="G31" s="10">
        <f t="shared" ca="1" si="5"/>
        <v>5</v>
      </c>
    </row>
    <row r="32" spans="2:7" ht="15.6">
      <c r="B32" s="99">
        <v>24</v>
      </c>
      <c r="C32" s="9" t="s">
        <v>128</v>
      </c>
      <c r="D32" s="101" t="s">
        <v>135</v>
      </c>
      <c r="E32" s="10">
        <f t="shared" ca="1" si="4"/>
        <v>2</v>
      </c>
      <c r="F32" s="99" t="s">
        <v>130</v>
      </c>
      <c r="G32" s="10">
        <f t="shared" ca="1" si="5"/>
        <v>3</v>
      </c>
    </row>
    <row r="33" spans="2:7" ht="15.6">
      <c r="B33" s="97">
        <v>25</v>
      </c>
      <c r="C33" s="9" t="s">
        <v>136</v>
      </c>
      <c r="D33" s="101" t="s">
        <v>137</v>
      </c>
      <c r="E33" s="10">
        <f t="shared" ca="1" si="4"/>
        <v>2</v>
      </c>
      <c r="F33" s="99" t="s">
        <v>130</v>
      </c>
      <c r="G33" s="10">
        <f t="shared" ca="1" si="5"/>
        <v>4</v>
      </c>
    </row>
    <row r="34" spans="2:7" ht="15.6">
      <c r="B34" s="99">
        <v>26</v>
      </c>
      <c r="C34" s="9" t="s">
        <v>138</v>
      </c>
      <c r="D34" s="101" t="s">
        <v>139</v>
      </c>
      <c r="E34" s="10">
        <f t="shared" ca="1" si="4"/>
        <v>1</v>
      </c>
      <c r="F34" s="99" t="s">
        <v>130</v>
      </c>
      <c r="G34" s="10">
        <f t="shared" ca="1" si="5"/>
        <v>3</v>
      </c>
    </row>
    <row r="35" spans="2:7" ht="15.6">
      <c r="B35" s="97">
        <v>27</v>
      </c>
      <c r="C35" s="9" t="s">
        <v>140</v>
      </c>
      <c r="D35" s="101" t="s">
        <v>141</v>
      </c>
      <c r="E35" s="10">
        <f t="shared" ca="1" si="4"/>
        <v>2</v>
      </c>
      <c r="F35" s="99" t="s">
        <v>130</v>
      </c>
      <c r="G35" s="10">
        <f t="shared" ca="1" si="5"/>
        <v>4</v>
      </c>
    </row>
    <row r="36" spans="2:7" ht="15.6">
      <c r="B36" s="99">
        <v>28</v>
      </c>
      <c r="C36" s="9" t="s">
        <v>142</v>
      </c>
      <c r="D36" s="101" t="s">
        <v>135</v>
      </c>
      <c r="E36" s="10">
        <f t="shared" ca="1" si="4"/>
        <v>10</v>
      </c>
      <c r="F36" s="99" t="s">
        <v>130</v>
      </c>
      <c r="G36" s="10">
        <f t="shared" ca="1" si="5"/>
        <v>5</v>
      </c>
    </row>
    <row r="37" spans="2:7" ht="15.6">
      <c r="B37" s="97">
        <v>29</v>
      </c>
      <c r="C37" s="9" t="s">
        <v>143</v>
      </c>
      <c r="D37" s="101" t="s">
        <v>144</v>
      </c>
      <c r="E37" s="10">
        <f t="shared" ca="1" si="4"/>
        <v>8</v>
      </c>
      <c r="F37" s="99" t="s">
        <v>130</v>
      </c>
      <c r="G37" s="10">
        <f t="shared" ca="1" si="5"/>
        <v>3</v>
      </c>
    </row>
    <row r="38" spans="2:7" ht="15.6">
      <c r="B38" s="99">
        <v>30</v>
      </c>
      <c r="C38" s="9" t="s">
        <v>145</v>
      </c>
      <c r="D38" s="101" t="s">
        <v>146</v>
      </c>
      <c r="E38" s="10">
        <f t="shared" ca="1" si="4"/>
        <v>8</v>
      </c>
      <c r="F38" s="99" t="s">
        <v>130</v>
      </c>
      <c r="G38" s="10">
        <f t="shared" ca="1" si="5"/>
        <v>4</v>
      </c>
    </row>
    <row r="39" spans="2:7" ht="15.6">
      <c r="B39" s="97">
        <v>31</v>
      </c>
      <c r="C39" s="9" t="s">
        <v>147</v>
      </c>
      <c r="D39" s="101" t="s">
        <v>137</v>
      </c>
      <c r="E39" s="10">
        <f t="shared" ca="1" si="4"/>
        <v>6</v>
      </c>
      <c r="F39" s="99" t="s">
        <v>130</v>
      </c>
      <c r="G39" s="10">
        <f t="shared" ca="1" si="5"/>
        <v>3</v>
      </c>
    </row>
    <row r="40" spans="2:7" ht="15.6">
      <c r="B40" s="99">
        <v>32</v>
      </c>
      <c r="C40" s="9" t="s">
        <v>148</v>
      </c>
      <c r="D40" s="101" t="s">
        <v>139</v>
      </c>
      <c r="E40" s="10">
        <f t="shared" ca="1" si="4"/>
        <v>2</v>
      </c>
      <c r="F40" s="99" t="s">
        <v>130</v>
      </c>
      <c r="G40" s="10">
        <f t="shared" ca="1" si="5"/>
        <v>4</v>
      </c>
    </row>
    <row r="41" spans="2:7" ht="15.6">
      <c r="B41" s="97">
        <v>33</v>
      </c>
      <c r="C41" s="9" t="s">
        <v>149</v>
      </c>
      <c r="D41" s="100" t="s">
        <v>150</v>
      </c>
      <c r="E41" s="10">
        <f t="shared" ca="1" si="4"/>
        <v>8</v>
      </c>
      <c r="F41" s="99" t="s">
        <v>130</v>
      </c>
      <c r="G41" s="10">
        <f t="shared" ca="1" si="5"/>
        <v>5</v>
      </c>
    </row>
    <row r="42" spans="2:7" ht="15.6">
      <c r="B42" s="99">
        <v>34</v>
      </c>
      <c r="C42" s="9" t="s">
        <v>151</v>
      </c>
      <c r="D42" s="101" t="s">
        <v>152</v>
      </c>
      <c r="E42" s="10">
        <f t="shared" ca="1" si="4"/>
        <v>2</v>
      </c>
      <c r="F42" s="99" t="s">
        <v>130</v>
      </c>
      <c r="G42" s="10">
        <f t="shared" ca="1" si="5"/>
        <v>3</v>
      </c>
    </row>
    <row r="43" spans="2:7" ht="15.6">
      <c r="B43" s="97">
        <v>35</v>
      </c>
      <c r="C43" s="9" t="s">
        <v>153</v>
      </c>
      <c r="D43" s="101" t="s">
        <v>135</v>
      </c>
      <c r="E43" s="10">
        <f t="shared" ca="1" si="4"/>
        <v>6</v>
      </c>
      <c r="F43" s="99" t="s">
        <v>130</v>
      </c>
      <c r="G43" s="10">
        <f t="shared" ca="1" si="5"/>
        <v>3</v>
      </c>
    </row>
    <row r="44" spans="2:7" ht="15.6">
      <c r="B44" s="99">
        <v>36</v>
      </c>
      <c r="C44" s="9" t="s">
        <v>154</v>
      </c>
      <c r="D44" s="101" t="s">
        <v>137</v>
      </c>
      <c r="E44" s="10">
        <f t="shared" ca="1" si="4"/>
        <v>10</v>
      </c>
      <c r="F44" s="99" t="s">
        <v>130</v>
      </c>
      <c r="G44" s="10">
        <f t="shared" ca="1" si="5"/>
        <v>5</v>
      </c>
    </row>
    <row r="45" spans="2:7" ht="15.6">
      <c r="B45" s="97">
        <v>37</v>
      </c>
      <c r="C45" s="9" t="s">
        <v>155</v>
      </c>
      <c r="D45" s="101" t="s">
        <v>156</v>
      </c>
      <c r="E45" s="10">
        <f t="shared" ca="1" si="4"/>
        <v>7</v>
      </c>
      <c r="F45" s="99" t="s">
        <v>130</v>
      </c>
      <c r="G45" s="10">
        <f t="shared" ca="1" si="5"/>
        <v>3</v>
      </c>
    </row>
    <row r="46" spans="2:7" ht="15.6">
      <c r="B46" s="99">
        <v>38</v>
      </c>
      <c r="C46" s="9" t="s">
        <v>157</v>
      </c>
      <c r="D46" s="101" t="s">
        <v>158</v>
      </c>
      <c r="E46" s="10">
        <f t="shared" ca="1" si="4"/>
        <v>7</v>
      </c>
      <c r="F46" s="99" t="s">
        <v>130</v>
      </c>
      <c r="G46" s="10">
        <f t="shared" ca="1" si="5"/>
        <v>4</v>
      </c>
    </row>
    <row r="47" spans="2:7" ht="15.6">
      <c r="B47" s="97">
        <v>39</v>
      </c>
      <c r="C47" s="9" t="s">
        <v>159</v>
      </c>
      <c r="D47" s="101" t="s">
        <v>160</v>
      </c>
      <c r="E47" s="10">
        <f t="shared" ca="1" si="4"/>
        <v>4</v>
      </c>
      <c r="F47" s="99" t="s">
        <v>130</v>
      </c>
      <c r="G47" s="10">
        <f t="shared" ca="1" si="5"/>
        <v>5</v>
      </c>
    </row>
    <row r="48" spans="2:7" ht="15.6">
      <c r="B48" s="99">
        <v>40</v>
      </c>
      <c r="C48" s="9" t="s">
        <v>161</v>
      </c>
      <c r="D48" s="101" t="s">
        <v>162</v>
      </c>
      <c r="E48" s="10">
        <f t="shared" ca="1" si="4"/>
        <v>9</v>
      </c>
      <c r="F48" s="99" t="s">
        <v>130</v>
      </c>
      <c r="G48" s="10">
        <f t="shared" ca="1" si="5"/>
        <v>4</v>
      </c>
    </row>
    <row r="49" spans="2:7" ht="51.6" customHeight="1">
      <c r="B49" s="132" t="s">
        <v>242</v>
      </c>
      <c r="C49" s="133"/>
      <c r="D49" s="133"/>
      <c r="E49" s="133"/>
      <c r="F49" s="133"/>
      <c r="G49" s="134"/>
    </row>
    <row r="50" spans="2:7" ht="31.2">
      <c r="B50" s="61" t="s">
        <v>80</v>
      </c>
      <c r="C50" s="62" t="s">
        <v>81</v>
      </c>
      <c r="D50" s="63" t="s">
        <v>82</v>
      </c>
      <c r="E50" s="61" t="s">
        <v>83</v>
      </c>
      <c r="F50" s="61" t="s">
        <v>84</v>
      </c>
      <c r="G50" s="61" t="s">
        <v>85</v>
      </c>
    </row>
    <row r="51" spans="2:7" ht="16.8">
      <c r="B51" s="99">
        <v>41</v>
      </c>
      <c r="C51" s="11" t="s">
        <v>163</v>
      </c>
      <c r="D51" s="101" t="s">
        <v>164</v>
      </c>
      <c r="E51" s="12">
        <f ca="1">RANDBETWEEN(1,10)</f>
        <v>1</v>
      </c>
      <c r="F51" s="99" t="s">
        <v>203</v>
      </c>
      <c r="G51" s="12">
        <f ca="1">RANDBETWEEN(6,8)</f>
        <v>7</v>
      </c>
    </row>
    <row r="52" spans="2:7" ht="16.8">
      <c r="B52" s="99">
        <v>42</v>
      </c>
      <c r="C52" s="11" t="s">
        <v>165</v>
      </c>
      <c r="D52" s="101" t="s">
        <v>166</v>
      </c>
      <c r="E52" s="12">
        <f t="shared" ref="E52:E70" ca="1" si="6">RANDBETWEEN(1,10)</f>
        <v>6</v>
      </c>
      <c r="F52" s="99" t="s">
        <v>203</v>
      </c>
      <c r="G52" s="12">
        <f t="shared" ref="G52:G70" ca="1" si="7">RANDBETWEEN(6,8)</f>
        <v>7</v>
      </c>
    </row>
    <row r="53" spans="2:7" ht="16.8">
      <c r="B53" s="99">
        <v>43</v>
      </c>
      <c r="C53" s="11" t="s">
        <v>167</v>
      </c>
      <c r="D53" s="101" t="s">
        <v>168</v>
      </c>
      <c r="E53" s="12">
        <f t="shared" ca="1" si="6"/>
        <v>6</v>
      </c>
      <c r="F53" s="99" t="s">
        <v>203</v>
      </c>
      <c r="G53" s="12">
        <f t="shared" ca="1" si="7"/>
        <v>7</v>
      </c>
    </row>
    <row r="54" spans="2:7" ht="16.8">
      <c r="B54" s="99">
        <v>44</v>
      </c>
      <c r="C54" s="11" t="s">
        <v>169</v>
      </c>
      <c r="D54" s="101" t="s">
        <v>170</v>
      </c>
      <c r="E54" s="12">
        <f t="shared" ca="1" si="6"/>
        <v>7</v>
      </c>
      <c r="F54" s="99" t="s">
        <v>203</v>
      </c>
      <c r="G54" s="12">
        <f t="shared" ca="1" si="7"/>
        <v>7</v>
      </c>
    </row>
    <row r="55" spans="2:7" ht="16.8">
      <c r="B55" s="99">
        <v>45</v>
      </c>
      <c r="C55" s="13" t="s">
        <v>171</v>
      </c>
      <c r="D55" s="101" t="s">
        <v>172</v>
      </c>
      <c r="E55" s="12">
        <f t="shared" ca="1" si="6"/>
        <v>1</v>
      </c>
      <c r="F55" s="99" t="s">
        <v>203</v>
      </c>
      <c r="G55" s="12">
        <f t="shared" ca="1" si="7"/>
        <v>6</v>
      </c>
    </row>
    <row r="56" spans="2:7" ht="16.8">
      <c r="B56" s="99">
        <v>46</v>
      </c>
      <c r="C56" s="14" t="s">
        <v>173</v>
      </c>
      <c r="D56" s="101" t="s">
        <v>174</v>
      </c>
      <c r="E56" s="12">
        <f t="shared" ca="1" si="6"/>
        <v>7</v>
      </c>
      <c r="F56" s="99" t="s">
        <v>203</v>
      </c>
      <c r="G56" s="12">
        <f t="shared" ca="1" si="7"/>
        <v>6</v>
      </c>
    </row>
    <row r="57" spans="2:7" ht="16.8">
      <c r="B57" s="99">
        <v>47</v>
      </c>
      <c r="C57" s="11" t="s">
        <v>175</v>
      </c>
      <c r="D57" s="101" t="s">
        <v>176</v>
      </c>
      <c r="E57" s="12">
        <f t="shared" ca="1" si="6"/>
        <v>3</v>
      </c>
      <c r="F57" s="99" t="s">
        <v>203</v>
      </c>
      <c r="G57" s="12">
        <f t="shared" ca="1" si="7"/>
        <v>8</v>
      </c>
    </row>
    <row r="58" spans="2:7" ht="16.8">
      <c r="B58" s="99">
        <v>48</v>
      </c>
      <c r="C58" s="15" t="s">
        <v>177</v>
      </c>
      <c r="D58" s="102" t="s">
        <v>178</v>
      </c>
      <c r="E58" s="12">
        <f t="shared" ca="1" si="6"/>
        <v>5</v>
      </c>
      <c r="F58" s="99" t="s">
        <v>203</v>
      </c>
      <c r="G58" s="12">
        <f t="shared" ca="1" si="7"/>
        <v>6</v>
      </c>
    </row>
    <row r="59" spans="2:7" ht="16.8">
      <c r="B59" s="99">
        <v>49</v>
      </c>
      <c r="C59" s="16" t="s">
        <v>179</v>
      </c>
      <c r="D59" s="103" t="s">
        <v>180</v>
      </c>
      <c r="E59" s="12">
        <f t="shared" ca="1" si="6"/>
        <v>8</v>
      </c>
      <c r="F59" s="99" t="s">
        <v>203</v>
      </c>
      <c r="G59" s="12">
        <f t="shared" ca="1" si="7"/>
        <v>6</v>
      </c>
    </row>
    <row r="60" spans="2:7" ht="16.8">
      <c r="B60" s="99">
        <v>50</v>
      </c>
      <c r="C60" s="16" t="s">
        <v>181</v>
      </c>
      <c r="D60" s="102" t="s">
        <v>182</v>
      </c>
      <c r="E60" s="12">
        <f t="shared" ca="1" si="6"/>
        <v>2</v>
      </c>
      <c r="F60" s="99" t="s">
        <v>203</v>
      </c>
      <c r="G60" s="12">
        <f t="shared" ca="1" si="7"/>
        <v>7</v>
      </c>
    </row>
    <row r="61" spans="2:7" ht="16.8">
      <c r="B61" s="99">
        <v>51</v>
      </c>
      <c r="C61" s="17" t="s">
        <v>183</v>
      </c>
      <c r="D61" s="102" t="s">
        <v>184</v>
      </c>
      <c r="E61" s="12">
        <f t="shared" ca="1" si="6"/>
        <v>8</v>
      </c>
      <c r="F61" s="99" t="s">
        <v>203</v>
      </c>
      <c r="G61" s="12">
        <f t="shared" ca="1" si="7"/>
        <v>7</v>
      </c>
    </row>
    <row r="62" spans="2:7" ht="16.8">
      <c r="B62" s="99">
        <v>52</v>
      </c>
      <c r="C62" s="11" t="s">
        <v>185</v>
      </c>
      <c r="D62" s="101" t="s">
        <v>186</v>
      </c>
      <c r="E62" s="12">
        <f t="shared" ca="1" si="6"/>
        <v>6</v>
      </c>
      <c r="F62" s="99" t="s">
        <v>203</v>
      </c>
      <c r="G62" s="12">
        <f t="shared" ca="1" si="7"/>
        <v>6</v>
      </c>
    </row>
    <row r="63" spans="2:7" ht="16.8">
      <c r="B63" s="99">
        <v>53</v>
      </c>
      <c r="C63" s="11" t="s">
        <v>187</v>
      </c>
      <c r="D63" s="101" t="s">
        <v>188</v>
      </c>
      <c r="E63" s="12">
        <f t="shared" ca="1" si="6"/>
        <v>6</v>
      </c>
      <c r="F63" s="99" t="s">
        <v>203</v>
      </c>
      <c r="G63" s="12">
        <f t="shared" ca="1" si="7"/>
        <v>6</v>
      </c>
    </row>
    <row r="64" spans="2:7" ht="16.8">
      <c r="B64" s="99">
        <v>54</v>
      </c>
      <c r="C64" s="11" t="s">
        <v>189</v>
      </c>
      <c r="D64" s="104" t="s">
        <v>190</v>
      </c>
      <c r="E64" s="12">
        <f t="shared" ca="1" si="6"/>
        <v>8</v>
      </c>
      <c r="F64" s="99" t="s">
        <v>203</v>
      </c>
      <c r="G64" s="12">
        <f t="shared" ca="1" si="7"/>
        <v>6</v>
      </c>
    </row>
    <row r="65" spans="2:7" ht="16.8">
      <c r="B65" s="99">
        <v>55</v>
      </c>
      <c r="C65" s="11" t="s">
        <v>191</v>
      </c>
      <c r="D65" s="100" t="s">
        <v>192</v>
      </c>
      <c r="E65" s="12">
        <f t="shared" ca="1" si="6"/>
        <v>4</v>
      </c>
      <c r="F65" s="99" t="s">
        <v>203</v>
      </c>
      <c r="G65" s="12">
        <f t="shared" ca="1" si="7"/>
        <v>7</v>
      </c>
    </row>
    <row r="66" spans="2:7" ht="16.8">
      <c r="B66" s="99">
        <v>56</v>
      </c>
      <c r="C66" s="18" t="s">
        <v>193</v>
      </c>
      <c r="D66" s="101" t="s">
        <v>194</v>
      </c>
      <c r="E66" s="12">
        <f t="shared" ca="1" si="6"/>
        <v>2</v>
      </c>
      <c r="F66" s="99" t="s">
        <v>203</v>
      </c>
      <c r="G66" s="12">
        <f t="shared" ca="1" si="7"/>
        <v>7</v>
      </c>
    </row>
    <row r="67" spans="2:7" ht="16.8">
      <c r="B67" s="99">
        <v>57</v>
      </c>
      <c r="C67" s="11" t="s">
        <v>195</v>
      </c>
      <c r="D67" s="100" t="s">
        <v>196</v>
      </c>
      <c r="E67" s="12">
        <f t="shared" ca="1" si="6"/>
        <v>2</v>
      </c>
      <c r="F67" s="99" t="s">
        <v>203</v>
      </c>
      <c r="G67" s="12">
        <f t="shared" ca="1" si="7"/>
        <v>7</v>
      </c>
    </row>
    <row r="68" spans="2:7" ht="16.8">
      <c r="B68" s="99">
        <v>58</v>
      </c>
      <c r="C68" s="11" t="s">
        <v>197</v>
      </c>
      <c r="D68" s="101" t="s">
        <v>198</v>
      </c>
      <c r="E68" s="12">
        <f t="shared" ca="1" si="6"/>
        <v>9</v>
      </c>
      <c r="F68" s="99" t="s">
        <v>203</v>
      </c>
      <c r="G68" s="12">
        <f t="shared" ca="1" si="7"/>
        <v>8</v>
      </c>
    </row>
    <row r="69" spans="2:7" ht="16.8">
      <c r="B69" s="99">
        <v>59</v>
      </c>
      <c r="C69" s="11" t="s">
        <v>199</v>
      </c>
      <c r="D69" s="101" t="s">
        <v>200</v>
      </c>
      <c r="E69" s="12">
        <f t="shared" ca="1" si="6"/>
        <v>7</v>
      </c>
      <c r="F69" s="99" t="s">
        <v>203</v>
      </c>
      <c r="G69" s="12">
        <f t="shared" ca="1" si="7"/>
        <v>8</v>
      </c>
    </row>
    <row r="70" spans="2:7" ht="16.8">
      <c r="B70" s="99">
        <v>60</v>
      </c>
      <c r="C70" s="19" t="s">
        <v>201</v>
      </c>
      <c r="D70" s="101" t="s">
        <v>202</v>
      </c>
      <c r="E70" s="12">
        <f t="shared" ca="1" si="6"/>
        <v>5</v>
      </c>
      <c r="F70" s="99" t="s">
        <v>203</v>
      </c>
      <c r="G70" s="12">
        <f t="shared" ca="1" si="7"/>
        <v>7</v>
      </c>
    </row>
  </sheetData>
  <mergeCells count="4">
    <mergeCell ref="B1:G4"/>
    <mergeCell ref="B5:G5"/>
    <mergeCell ref="B27:G27"/>
    <mergeCell ref="B49:G49"/>
  </mergeCells>
  <conditionalFormatting sqref="B1:G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{1DB8D4CD-F702-4DBE-9E00-4288D0A5D640}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8D4CD-F702-4DBE-9E00-4288D0A5D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B1:G4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B438-8F57-4E8B-9260-5A6F8B9D12B1}">
  <dimension ref="B2:K26"/>
  <sheetViews>
    <sheetView zoomScale="87" zoomScaleNormal="87" workbookViewId="0">
      <selection activeCell="G11" sqref="G11"/>
    </sheetView>
  </sheetViews>
  <sheetFormatPr defaultRowHeight="14.4"/>
  <cols>
    <col min="1" max="1" width="12.33203125" customWidth="1"/>
    <col min="3" max="3" width="13.21875" customWidth="1"/>
    <col min="4" max="4" width="62.109375" customWidth="1"/>
    <col min="5" max="5" width="14.21875" customWidth="1"/>
    <col min="6" max="6" width="13.88671875" customWidth="1"/>
    <col min="7" max="7" width="14.88671875" customWidth="1"/>
    <col min="10" max="10" width="35.88671875" customWidth="1"/>
    <col min="11" max="11" width="14.109375" customWidth="1"/>
    <col min="12" max="12" width="14.33203125" customWidth="1"/>
  </cols>
  <sheetData>
    <row r="2" spans="2:11" ht="14.4" customHeight="1">
      <c r="B2" s="135" t="s">
        <v>245</v>
      </c>
      <c r="C2" s="135"/>
      <c r="D2" s="135"/>
      <c r="E2" s="135"/>
      <c r="F2" s="135"/>
      <c r="G2" s="136"/>
      <c r="H2" s="21"/>
    </row>
    <row r="3" spans="2:11">
      <c r="B3" s="135"/>
      <c r="C3" s="135"/>
      <c r="D3" s="135"/>
      <c r="E3" s="135"/>
      <c r="F3" s="135"/>
      <c r="G3" s="136"/>
      <c r="H3" s="21"/>
    </row>
    <row r="4" spans="2:11">
      <c r="B4" s="135"/>
      <c r="C4" s="135"/>
      <c r="D4" s="135"/>
      <c r="E4" s="135"/>
      <c r="F4" s="135"/>
      <c r="G4" s="136"/>
      <c r="H4" s="21"/>
    </row>
    <row r="5" spans="2:11">
      <c r="B5" s="135"/>
      <c r="C5" s="135"/>
      <c r="D5" s="135"/>
      <c r="E5" s="135"/>
      <c r="F5" s="135"/>
      <c r="G5" s="136"/>
      <c r="H5" s="21"/>
    </row>
    <row r="6" spans="2:11" ht="18">
      <c r="B6" s="73" t="s">
        <v>80</v>
      </c>
      <c r="C6" s="74" t="s">
        <v>206</v>
      </c>
      <c r="D6" s="75" t="s">
        <v>81</v>
      </c>
      <c r="E6" s="76" t="s">
        <v>207</v>
      </c>
      <c r="F6" s="77" t="s">
        <v>205</v>
      </c>
      <c r="G6" s="78" t="s">
        <v>208</v>
      </c>
      <c r="H6" s="21"/>
      <c r="I6" s="79" t="s">
        <v>80</v>
      </c>
      <c r="J6" s="80" t="s">
        <v>81</v>
      </c>
      <c r="K6" s="81" t="s">
        <v>206</v>
      </c>
    </row>
    <row r="7" spans="2:11">
      <c r="B7" s="72">
        <v>1</v>
      </c>
      <c r="C7" s="40" t="s">
        <v>210</v>
      </c>
      <c r="D7" s="67" t="s">
        <v>140</v>
      </c>
      <c r="E7" s="34">
        <v>44938</v>
      </c>
      <c r="F7" s="68">
        <v>44969</v>
      </c>
      <c r="G7" s="38">
        <v>44970</v>
      </c>
      <c r="H7" s="21"/>
      <c r="I7" s="32">
        <v>8</v>
      </c>
      <c r="J7" s="65" t="str">
        <f>VLOOKUP(I7,$B$6:$G$25,3,0)</f>
        <v>Quantum Aspects Of Life</v>
      </c>
      <c r="K7" s="66" t="str">
        <f t="shared" ref="K7:K8" si="0">VLOOKUP(I7,$B$6:$G$25,2,0)</f>
        <v>LGU-BsCs-8</v>
      </c>
    </row>
    <row r="8" spans="2:11">
      <c r="B8" s="72">
        <v>2</v>
      </c>
      <c r="C8" s="40" t="s">
        <v>211</v>
      </c>
      <c r="D8" s="67" t="s">
        <v>142</v>
      </c>
      <c r="E8" s="34">
        <v>44939</v>
      </c>
      <c r="F8" s="68">
        <v>44970</v>
      </c>
      <c r="G8" s="38">
        <v>44972</v>
      </c>
      <c r="H8" s="21"/>
      <c r="I8" s="32">
        <v>2</v>
      </c>
      <c r="J8" s="67" t="s">
        <v>142</v>
      </c>
      <c r="K8" s="66" t="str">
        <f t="shared" si="0"/>
        <v>LGU-BsCs-2</v>
      </c>
    </row>
    <row r="9" spans="2:11">
      <c r="B9" s="72">
        <v>3</v>
      </c>
      <c r="C9" s="40" t="s">
        <v>212</v>
      </c>
      <c r="D9" s="67" t="s">
        <v>143</v>
      </c>
      <c r="E9" s="34">
        <v>44940</v>
      </c>
      <c r="F9" s="68">
        <v>44971</v>
      </c>
      <c r="G9" s="39" t="s">
        <v>213</v>
      </c>
      <c r="H9" s="21"/>
      <c r="I9" s="32">
        <v>6</v>
      </c>
      <c r="J9" s="67" t="s">
        <v>148</v>
      </c>
      <c r="K9" s="66" t="str">
        <f>VLOOKUP(I9,$B$6:$G$25,2,0)</f>
        <v>LGU-BsCs-6</v>
      </c>
    </row>
    <row r="10" spans="2:11">
      <c r="B10" s="72">
        <v>4</v>
      </c>
      <c r="C10" s="40" t="s">
        <v>214</v>
      </c>
      <c r="D10" s="67" t="s">
        <v>145</v>
      </c>
      <c r="E10" s="34">
        <v>44941</v>
      </c>
      <c r="F10" s="68">
        <v>44972</v>
      </c>
      <c r="G10" s="38">
        <v>44970</v>
      </c>
      <c r="H10" s="21"/>
    </row>
    <row r="11" spans="2:11">
      <c r="B11" s="72">
        <v>5</v>
      </c>
      <c r="C11" s="40" t="s">
        <v>215</v>
      </c>
      <c r="D11" s="67" t="s">
        <v>147</v>
      </c>
      <c r="E11" s="34">
        <v>44942</v>
      </c>
      <c r="F11" s="68">
        <v>44973</v>
      </c>
      <c r="G11" s="38">
        <v>44975</v>
      </c>
      <c r="H11" s="21"/>
    </row>
    <row r="12" spans="2:11">
      <c r="B12" s="72">
        <v>6</v>
      </c>
      <c r="C12" s="40" t="s">
        <v>216</v>
      </c>
      <c r="D12" s="67" t="s">
        <v>148</v>
      </c>
      <c r="E12" s="34">
        <v>44943</v>
      </c>
      <c r="F12" s="68">
        <v>44974</v>
      </c>
      <c r="G12" s="38">
        <v>44969</v>
      </c>
      <c r="H12" s="21"/>
    </row>
    <row r="13" spans="2:11">
      <c r="B13" s="72">
        <v>7</v>
      </c>
      <c r="C13" s="40" t="s">
        <v>217</v>
      </c>
      <c r="D13" s="67" t="s">
        <v>149</v>
      </c>
      <c r="E13" s="34">
        <v>44944</v>
      </c>
      <c r="F13" s="68">
        <v>44975</v>
      </c>
      <c r="G13" s="38">
        <v>44981</v>
      </c>
      <c r="H13" s="21"/>
    </row>
    <row r="14" spans="2:11">
      <c r="B14" s="72">
        <v>8</v>
      </c>
      <c r="C14" s="40" t="s">
        <v>209</v>
      </c>
      <c r="D14" s="67" t="s">
        <v>151</v>
      </c>
      <c r="E14" s="34">
        <v>44945</v>
      </c>
      <c r="F14" s="68">
        <v>44976</v>
      </c>
      <c r="G14" s="38">
        <v>44960</v>
      </c>
      <c r="H14" s="21"/>
    </row>
    <row r="15" spans="2:11">
      <c r="B15" s="72">
        <v>9</v>
      </c>
      <c r="C15" s="40" t="s">
        <v>218</v>
      </c>
      <c r="D15" s="67" t="s">
        <v>191</v>
      </c>
      <c r="E15" s="34">
        <v>44946</v>
      </c>
      <c r="F15" s="68">
        <v>44977</v>
      </c>
      <c r="G15" s="38">
        <v>44958</v>
      </c>
      <c r="H15" s="21"/>
    </row>
    <row r="16" spans="2:11">
      <c r="B16" s="72">
        <v>10</v>
      </c>
      <c r="C16" s="40" t="s">
        <v>219</v>
      </c>
      <c r="D16" s="67" t="s">
        <v>244</v>
      </c>
      <c r="E16" s="34">
        <v>44947</v>
      </c>
      <c r="F16" s="68">
        <v>44978</v>
      </c>
      <c r="G16" s="38">
        <v>44961</v>
      </c>
      <c r="H16" s="21"/>
    </row>
    <row r="17" spans="2:11">
      <c r="B17" s="72">
        <v>11</v>
      </c>
      <c r="C17" s="40" t="s">
        <v>220</v>
      </c>
      <c r="D17" s="67" t="s">
        <v>195</v>
      </c>
      <c r="E17" s="34">
        <v>44948</v>
      </c>
      <c r="F17" s="68">
        <v>44979</v>
      </c>
      <c r="G17" s="38">
        <v>44985</v>
      </c>
      <c r="H17" s="21"/>
    </row>
    <row r="18" spans="2:11">
      <c r="B18" s="72">
        <v>12</v>
      </c>
      <c r="C18" s="40" t="s">
        <v>221</v>
      </c>
      <c r="D18" s="67" t="s">
        <v>197</v>
      </c>
      <c r="E18" s="34">
        <v>44949</v>
      </c>
      <c r="F18" s="68">
        <v>44980</v>
      </c>
      <c r="G18" s="38">
        <v>44990</v>
      </c>
      <c r="H18" s="21"/>
    </row>
    <row r="19" spans="2:11">
      <c r="B19" s="72">
        <v>13</v>
      </c>
      <c r="C19" s="40" t="s">
        <v>222</v>
      </c>
      <c r="D19" s="67" t="s">
        <v>199</v>
      </c>
      <c r="E19" s="34">
        <v>44950</v>
      </c>
      <c r="F19" s="68">
        <v>44981</v>
      </c>
      <c r="G19" s="38">
        <v>44984</v>
      </c>
      <c r="H19" s="21"/>
    </row>
    <row r="20" spans="2:11">
      <c r="B20" s="72">
        <v>14</v>
      </c>
      <c r="C20" s="40" t="s">
        <v>223</v>
      </c>
      <c r="D20" s="67" t="s">
        <v>201</v>
      </c>
      <c r="E20" s="34">
        <v>44951</v>
      </c>
      <c r="F20" s="68">
        <v>44982</v>
      </c>
      <c r="G20" s="38">
        <v>44983</v>
      </c>
      <c r="H20" s="21"/>
    </row>
    <row r="21" spans="2:11">
      <c r="B21" s="72">
        <v>15</v>
      </c>
      <c r="C21" s="40" t="s">
        <v>224</v>
      </c>
      <c r="D21" s="69" t="s">
        <v>89</v>
      </c>
      <c r="E21" s="34">
        <v>44952</v>
      </c>
      <c r="F21" s="68">
        <v>44983</v>
      </c>
      <c r="G21" s="38">
        <v>44998</v>
      </c>
      <c r="H21" s="21"/>
      <c r="K21" s="64"/>
    </row>
    <row r="22" spans="2:11">
      <c r="B22" s="72">
        <v>16</v>
      </c>
      <c r="C22" s="40" t="s">
        <v>225</v>
      </c>
      <c r="D22" s="70" t="s">
        <v>91</v>
      </c>
      <c r="E22" s="34">
        <v>44953</v>
      </c>
      <c r="F22" s="68">
        <v>44984</v>
      </c>
      <c r="G22" s="38">
        <v>44984</v>
      </c>
      <c r="H22" s="21"/>
    </row>
    <row r="23" spans="2:11">
      <c r="B23" s="72">
        <v>17</v>
      </c>
      <c r="C23" s="40" t="s">
        <v>226</v>
      </c>
      <c r="D23" s="71" t="s">
        <v>93</v>
      </c>
      <c r="E23" s="34">
        <v>44954</v>
      </c>
      <c r="F23" s="68">
        <v>44985</v>
      </c>
      <c r="G23" s="38">
        <v>45051</v>
      </c>
    </row>
    <row r="24" spans="2:11">
      <c r="B24" s="72">
        <v>18</v>
      </c>
      <c r="C24" s="40" t="s">
        <v>227</v>
      </c>
      <c r="D24" s="71" t="s">
        <v>95</v>
      </c>
      <c r="E24" s="34">
        <v>44955</v>
      </c>
      <c r="F24" s="68">
        <v>44986</v>
      </c>
      <c r="G24" s="38">
        <v>45019</v>
      </c>
    </row>
    <row r="25" spans="2:11">
      <c r="B25" s="72">
        <v>19</v>
      </c>
      <c r="C25" s="40" t="s">
        <v>228</v>
      </c>
      <c r="D25" s="71" t="s">
        <v>119</v>
      </c>
      <c r="E25" s="34">
        <v>44956</v>
      </c>
      <c r="F25" s="68">
        <v>44987</v>
      </c>
      <c r="G25" s="38">
        <v>44988</v>
      </c>
    </row>
    <row r="26" spans="2:11">
      <c r="C26" s="21"/>
      <c r="D26" s="21"/>
      <c r="E26" s="22"/>
      <c r="F26" s="22"/>
      <c r="G26" s="21"/>
    </row>
  </sheetData>
  <mergeCells count="1">
    <mergeCell ref="B2:G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E4B3-85C2-4878-96F9-BC96C8E6B401}">
  <dimension ref="B1:I24"/>
  <sheetViews>
    <sheetView workbookViewId="0">
      <selection activeCell="K9" sqref="K9"/>
    </sheetView>
  </sheetViews>
  <sheetFormatPr defaultRowHeight="14.4"/>
  <cols>
    <col min="1" max="1" width="18.21875" customWidth="1"/>
    <col min="2" max="2" width="7.88671875" customWidth="1"/>
    <col min="3" max="3" width="13.88671875" customWidth="1"/>
    <col min="4" max="4" width="51.109375" customWidth="1"/>
    <col min="5" max="5" width="13.88671875" customWidth="1"/>
    <col min="6" max="6" width="12.33203125" customWidth="1"/>
    <col min="7" max="7" width="14" customWidth="1"/>
    <col min="8" max="8" width="15.77734375" customWidth="1"/>
    <col min="9" max="9" width="15.5546875" customWidth="1"/>
  </cols>
  <sheetData>
    <row r="1" spans="2:9">
      <c r="B1" s="137" t="s">
        <v>247</v>
      </c>
      <c r="C1" s="138"/>
      <c r="D1" s="138"/>
      <c r="E1" s="138"/>
      <c r="F1" s="138"/>
      <c r="G1" s="138"/>
      <c r="H1" s="138"/>
      <c r="I1" s="138"/>
    </row>
    <row r="2" spans="2:9">
      <c r="B2" s="138"/>
      <c r="C2" s="138"/>
      <c r="D2" s="138"/>
      <c r="E2" s="138"/>
      <c r="F2" s="138"/>
      <c r="G2" s="138"/>
      <c r="H2" s="138"/>
      <c r="I2" s="138"/>
    </row>
    <row r="3" spans="2:9" ht="36.6" customHeight="1">
      <c r="B3" s="138"/>
      <c r="C3" s="138"/>
      <c r="D3" s="138"/>
      <c r="E3" s="138"/>
      <c r="F3" s="138"/>
      <c r="G3" s="138"/>
      <c r="H3" s="138"/>
      <c r="I3" s="138"/>
    </row>
    <row r="4" spans="2:9" ht="19.8" customHeight="1">
      <c r="B4" s="82" t="s">
        <v>204</v>
      </c>
      <c r="C4" s="82" t="s">
        <v>1</v>
      </c>
      <c r="D4" s="83" t="s">
        <v>81</v>
      </c>
      <c r="E4" s="76" t="s">
        <v>207</v>
      </c>
      <c r="F4" s="77" t="s">
        <v>205</v>
      </c>
      <c r="G4" s="84" t="s">
        <v>208</v>
      </c>
      <c r="H4" s="77" t="s">
        <v>272</v>
      </c>
      <c r="I4" s="77" t="s">
        <v>271</v>
      </c>
    </row>
    <row r="5" spans="2:9">
      <c r="B5" s="72">
        <v>1</v>
      </c>
      <c r="C5" s="33" t="s">
        <v>2</v>
      </c>
      <c r="D5" s="85" t="s">
        <v>140</v>
      </c>
      <c r="E5" s="34">
        <v>44938</v>
      </c>
      <c r="F5" s="68">
        <v>44969</v>
      </c>
      <c r="G5" s="34">
        <v>44970</v>
      </c>
      <c r="H5" s="35">
        <v>10</v>
      </c>
      <c r="I5" s="65">
        <f>(G5-E5)*H5</f>
        <v>320</v>
      </c>
    </row>
    <row r="6" spans="2:9">
      <c r="B6" s="72">
        <v>2</v>
      </c>
      <c r="C6" s="33" t="s">
        <v>3</v>
      </c>
      <c r="D6" s="85" t="s">
        <v>142</v>
      </c>
      <c r="E6" s="34">
        <v>44939</v>
      </c>
      <c r="F6" s="68">
        <v>44970</v>
      </c>
      <c r="G6" s="34">
        <v>44972</v>
      </c>
      <c r="H6" s="35">
        <v>10</v>
      </c>
      <c r="I6" s="65">
        <f>(G6-E6)*H6</f>
        <v>330</v>
      </c>
    </row>
    <row r="7" spans="2:9">
      <c r="B7" s="72">
        <v>3</v>
      </c>
      <c r="C7" s="33" t="s">
        <v>4</v>
      </c>
      <c r="D7" s="85" t="s">
        <v>143</v>
      </c>
      <c r="E7" s="34">
        <v>44940</v>
      </c>
      <c r="F7" s="68">
        <v>44971</v>
      </c>
      <c r="G7" s="36" t="s">
        <v>213</v>
      </c>
      <c r="H7" s="35">
        <v>10</v>
      </c>
      <c r="I7" s="65">
        <f>(G7-E7)*H7</f>
        <v>190</v>
      </c>
    </row>
    <row r="8" spans="2:9">
      <c r="B8" s="72">
        <v>4</v>
      </c>
      <c r="C8" s="33" t="s">
        <v>5</v>
      </c>
      <c r="D8" s="85" t="s">
        <v>145</v>
      </c>
      <c r="E8" s="34">
        <v>44941</v>
      </c>
      <c r="F8" s="68">
        <v>44972</v>
      </c>
      <c r="G8" s="34">
        <v>44970</v>
      </c>
      <c r="H8" s="35">
        <v>10</v>
      </c>
      <c r="I8" s="65">
        <f>(G8-E8)*H8</f>
        <v>290</v>
      </c>
    </row>
    <row r="9" spans="2:9">
      <c r="B9" s="72">
        <v>5</v>
      </c>
      <c r="C9" s="33" t="s">
        <v>6</v>
      </c>
      <c r="D9" s="85" t="s">
        <v>147</v>
      </c>
      <c r="E9" s="34">
        <v>44942</v>
      </c>
      <c r="F9" s="68">
        <v>44973</v>
      </c>
      <c r="G9" s="34">
        <v>44975</v>
      </c>
      <c r="H9" s="35">
        <v>10</v>
      </c>
      <c r="I9" s="65">
        <f>(G9-E9)*H9</f>
        <v>330</v>
      </c>
    </row>
    <row r="10" spans="2:9">
      <c r="B10" s="72">
        <v>6</v>
      </c>
      <c r="C10" s="33" t="s">
        <v>7</v>
      </c>
      <c r="D10" s="85" t="s">
        <v>148</v>
      </c>
      <c r="E10" s="34">
        <v>44943</v>
      </c>
      <c r="F10" s="68">
        <v>44974</v>
      </c>
      <c r="G10" s="34">
        <v>44969</v>
      </c>
      <c r="H10" s="35">
        <v>10</v>
      </c>
      <c r="I10" s="65">
        <f>(G10-E10)*H10</f>
        <v>260</v>
      </c>
    </row>
    <row r="11" spans="2:9">
      <c r="B11" s="72">
        <v>7</v>
      </c>
      <c r="C11" s="33" t="s">
        <v>8</v>
      </c>
      <c r="D11" s="85" t="s">
        <v>149</v>
      </c>
      <c r="E11" s="34">
        <v>44944</v>
      </c>
      <c r="F11" s="68">
        <v>44975</v>
      </c>
      <c r="G11" s="34">
        <v>44981</v>
      </c>
      <c r="H11" s="35">
        <v>10</v>
      </c>
      <c r="I11" s="65">
        <f>(G11-E11)*H11</f>
        <v>370</v>
      </c>
    </row>
    <row r="12" spans="2:9">
      <c r="B12" s="72">
        <v>8</v>
      </c>
      <c r="C12" s="33" t="s">
        <v>9</v>
      </c>
      <c r="D12" s="85" t="s">
        <v>151</v>
      </c>
      <c r="E12" s="34">
        <v>44945</v>
      </c>
      <c r="F12" s="68">
        <v>44976</v>
      </c>
      <c r="G12" s="34">
        <v>44960</v>
      </c>
      <c r="H12" s="35">
        <v>10</v>
      </c>
      <c r="I12" s="65">
        <f>(G12-E12)*H12</f>
        <v>150</v>
      </c>
    </row>
    <row r="13" spans="2:9">
      <c r="B13" s="72">
        <v>9</v>
      </c>
      <c r="C13" s="33" t="s">
        <v>10</v>
      </c>
      <c r="D13" s="85" t="s">
        <v>191</v>
      </c>
      <c r="E13" s="34">
        <v>44946</v>
      </c>
      <c r="F13" s="68">
        <v>44977</v>
      </c>
      <c r="G13" s="34">
        <v>44958</v>
      </c>
      <c r="H13" s="35">
        <v>10</v>
      </c>
      <c r="I13" s="65">
        <f>(G13-E13)*H13</f>
        <v>120</v>
      </c>
    </row>
    <row r="14" spans="2:9">
      <c r="B14" s="72">
        <v>10</v>
      </c>
      <c r="C14" s="33" t="s">
        <v>11</v>
      </c>
      <c r="D14" s="85" t="s">
        <v>244</v>
      </c>
      <c r="E14" s="34">
        <v>44947</v>
      </c>
      <c r="F14" s="68">
        <v>44978</v>
      </c>
      <c r="G14" s="34">
        <v>44961</v>
      </c>
      <c r="H14" s="35">
        <v>10</v>
      </c>
      <c r="I14" s="65">
        <f>(G14-E14)*H14</f>
        <v>140</v>
      </c>
    </row>
    <row r="15" spans="2:9">
      <c r="B15" s="72">
        <v>11</v>
      </c>
      <c r="C15" s="33" t="s">
        <v>12</v>
      </c>
      <c r="D15" s="85" t="s">
        <v>195</v>
      </c>
      <c r="E15" s="34">
        <v>44948</v>
      </c>
      <c r="F15" s="68">
        <v>44979</v>
      </c>
      <c r="G15" s="34">
        <v>44985</v>
      </c>
      <c r="H15" s="35">
        <v>10</v>
      </c>
      <c r="I15" s="65">
        <f>(G15-E15)*H15</f>
        <v>370</v>
      </c>
    </row>
    <row r="16" spans="2:9">
      <c r="B16" s="72">
        <v>12</v>
      </c>
      <c r="C16" s="33" t="s">
        <v>13</v>
      </c>
      <c r="D16" s="85" t="s">
        <v>197</v>
      </c>
      <c r="E16" s="34">
        <v>44949</v>
      </c>
      <c r="F16" s="68">
        <v>44980</v>
      </c>
      <c r="G16" s="34">
        <v>44990</v>
      </c>
      <c r="H16" s="35">
        <v>10</v>
      </c>
      <c r="I16" s="65">
        <f>(G16-E16)*H16</f>
        <v>410</v>
      </c>
    </row>
    <row r="17" spans="2:9">
      <c r="B17" s="72">
        <v>13</v>
      </c>
      <c r="C17" s="33" t="s">
        <v>14</v>
      </c>
      <c r="D17" s="85" t="s">
        <v>199</v>
      </c>
      <c r="E17" s="34">
        <v>44950</v>
      </c>
      <c r="F17" s="68">
        <v>44981</v>
      </c>
      <c r="G17" s="34">
        <v>44984</v>
      </c>
      <c r="H17" s="35">
        <v>10</v>
      </c>
      <c r="I17" s="65">
        <f>(G17-E17)*H17</f>
        <v>340</v>
      </c>
    </row>
    <row r="18" spans="2:9">
      <c r="B18" s="72">
        <v>14</v>
      </c>
      <c r="C18" s="33" t="s">
        <v>15</v>
      </c>
      <c r="D18" s="85" t="s">
        <v>201</v>
      </c>
      <c r="E18" s="34">
        <v>44951</v>
      </c>
      <c r="F18" s="68">
        <v>44982</v>
      </c>
      <c r="G18" s="34">
        <v>44983</v>
      </c>
      <c r="H18" s="35">
        <v>10</v>
      </c>
      <c r="I18" s="65">
        <f>(G18-E18)*H18</f>
        <v>320</v>
      </c>
    </row>
    <row r="19" spans="2:9">
      <c r="B19" s="72">
        <v>15</v>
      </c>
      <c r="C19" s="33" t="s">
        <v>16</v>
      </c>
      <c r="D19" s="86" t="s">
        <v>89</v>
      </c>
      <c r="E19" s="34">
        <v>44952</v>
      </c>
      <c r="F19" s="68">
        <v>44983</v>
      </c>
      <c r="G19" s="34">
        <v>44998</v>
      </c>
      <c r="H19" s="35">
        <v>10</v>
      </c>
      <c r="I19" s="65">
        <f>(G19-E19)*H19</f>
        <v>460</v>
      </c>
    </row>
    <row r="20" spans="2:9">
      <c r="B20" s="72">
        <v>16</v>
      </c>
      <c r="C20" s="33" t="s">
        <v>17</v>
      </c>
      <c r="D20" s="87" t="s">
        <v>91</v>
      </c>
      <c r="E20" s="34">
        <v>44953</v>
      </c>
      <c r="F20" s="68">
        <v>44984</v>
      </c>
      <c r="G20" s="34">
        <v>44984</v>
      </c>
      <c r="H20" s="35">
        <v>10</v>
      </c>
      <c r="I20" s="65">
        <f>(G20-E20)*H20</f>
        <v>310</v>
      </c>
    </row>
    <row r="21" spans="2:9">
      <c r="B21" s="72">
        <v>17</v>
      </c>
      <c r="C21" s="33" t="s">
        <v>18</v>
      </c>
      <c r="D21" s="88" t="s">
        <v>93</v>
      </c>
      <c r="E21" s="34">
        <v>44954</v>
      </c>
      <c r="F21" s="68">
        <v>44985</v>
      </c>
      <c r="G21" s="34">
        <v>45051</v>
      </c>
      <c r="H21" s="35">
        <v>10</v>
      </c>
      <c r="I21" s="65">
        <f>(G21-E21)*H21</f>
        <v>970</v>
      </c>
    </row>
    <row r="22" spans="2:9">
      <c r="B22" s="72">
        <v>18</v>
      </c>
      <c r="C22" s="33" t="s">
        <v>19</v>
      </c>
      <c r="D22" s="88" t="s">
        <v>95</v>
      </c>
      <c r="E22" s="34">
        <v>44955</v>
      </c>
      <c r="F22" s="68">
        <v>44986</v>
      </c>
      <c r="G22" s="34">
        <v>45019</v>
      </c>
      <c r="H22" s="35">
        <v>10</v>
      </c>
      <c r="I22" s="65">
        <f>(G22-E22)*H22</f>
        <v>640</v>
      </c>
    </row>
    <row r="23" spans="2:9">
      <c r="B23" s="72">
        <v>19</v>
      </c>
      <c r="C23" s="33" t="s">
        <v>20</v>
      </c>
      <c r="D23" s="88" t="s">
        <v>119</v>
      </c>
      <c r="E23" s="34">
        <v>44956</v>
      </c>
      <c r="F23" s="68">
        <v>44987</v>
      </c>
      <c r="G23" s="37">
        <v>44988</v>
      </c>
      <c r="H23" s="35">
        <v>10</v>
      </c>
      <c r="I23" s="65">
        <f>(G23-E23)*H23</f>
        <v>320</v>
      </c>
    </row>
    <row r="24" spans="2:9">
      <c r="B24" s="32"/>
      <c r="C24" s="32"/>
      <c r="D24" s="32"/>
      <c r="E24" s="32"/>
      <c r="F24" s="32"/>
      <c r="G24" s="32"/>
      <c r="H24" s="32"/>
      <c r="I24" s="32"/>
    </row>
  </sheetData>
  <mergeCells count="1">
    <mergeCell ref="B1:I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84F1-4DE5-47A9-A67B-6D45360B0C19}">
  <dimension ref="B1:E28"/>
  <sheetViews>
    <sheetView tabSelected="1" zoomScale="89" workbookViewId="0">
      <selection activeCell="M9" sqref="M9"/>
    </sheetView>
  </sheetViews>
  <sheetFormatPr defaultRowHeight="14.4"/>
  <cols>
    <col min="1" max="1" width="13.109375" customWidth="1"/>
    <col min="2" max="2" width="9.77734375" customWidth="1"/>
    <col min="3" max="3" width="42.44140625" customWidth="1"/>
    <col min="4" max="4" width="20.21875" customWidth="1"/>
    <col min="5" max="5" width="12.88671875" customWidth="1"/>
  </cols>
  <sheetData>
    <row r="1" spans="2:5">
      <c r="B1" s="139" t="s">
        <v>316</v>
      </c>
      <c r="C1" s="140"/>
      <c r="D1" s="140"/>
      <c r="E1" s="140"/>
    </row>
    <row r="2" spans="2:5">
      <c r="B2" s="140"/>
      <c r="C2" s="140"/>
      <c r="D2" s="140"/>
      <c r="E2" s="140"/>
    </row>
    <row r="3" spans="2:5">
      <c r="B3" s="140"/>
      <c r="C3" s="140"/>
      <c r="D3" s="140"/>
      <c r="E3" s="140"/>
    </row>
    <row r="4" spans="2:5">
      <c r="B4" s="140"/>
      <c r="C4" s="140"/>
      <c r="D4" s="140"/>
      <c r="E4" s="140"/>
    </row>
    <row r="5" spans="2:5">
      <c r="B5" s="26" t="s">
        <v>229</v>
      </c>
      <c r="C5" s="26" t="s">
        <v>230</v>
      </c>
      <c r="D5" s="26" t="s">
        <v>317</v>
      </c>
      <c r="E5" s="26" t="s">
        <v>273</v>
      </c>
    </row>
    <row r="6" spans="2:5">
      <c r="B6" s="89">
        <v>1</v>
      </c>
      <c r="C6" s="25" t="s">
        <v>128</v>
      </c>
      <c r="D6" s="90" t="s">
        <v>231</v>
      </c>
      <c r="E6" s="27">
        <f ca="1">RANDBETWEEN(G11,8)</f>
        <v>5</v>
      </c>
    </row>
    <row r="7" spans="2:5">
      <c r="B7" s="89">
        <v>2</v>
      </c>
      <c r="C7" s="24" t="s">
        <v>117</v>
      </c>
      <c r="D7" s="90">
        <v>44746</v>
      </c>
      <c r="E7" s="27">
        <f t="shared" ref="E7:E27" ca="1" si="0">RANDBETWEEN(1,8)</f>
        <v>8</v>
      </c>
    </row>
    <row r="8" spans="2:5">
      <c r="B8" s="89">
        <v>3</v>
      </c>
      <c r="C8" s="25" t="s">
        <v>143</v>
      </c>
      <c r="D8" s="90" t="s">
        <v>232</v>
      </c>
      <c r="E8" s="27">
        <f t="shared" ca="1" si="0"/>
        <v>4</v>
      </c>
    </row>
    <row r="9" spans="2:5">
      <c r="B9" s="89">
        <v>4</v>
      </c>
      <c r="C9" s="24" t="s">
        <v>121</v>
      </c>
      <c r="D9" s="90" t="s">
        <v>233</v>
      </c>
      <c r="E9" s="27">
        <f t="shared" ca="1" si="0"/>
        <v>5</v>
      </c>
    </row>
    <row r="10" spans="2:5">
      <c r="B10" s="89">
        <v>5</v>
      </c>
      <c r="C10" s="24" t="s">
        <v>123</v>
      </c>
      <c r="D10" s="90">
        <v>44600</v>
      </c>
      <c r="E10" s="27">
        <f t="shared" ca="1" si="0"/>
        <v>1</v>
      </c>
    </row>
    <row r="11" spans="2:5">
      <c r="B11" s="89">
        <v>6</v>
      </c>
      <c r="C11" s="24" t="s">
        <v>125</v>
      </c>
      <c r="D11" s="90">
        <v>44601</v>
      </c>
      <c r="E11" s="27">
        <f t="shared" ca="1" si="0"/>
        <v>6</v>
      </c>
    </row>
    <row r="12" spans="2:5">
      <c r="B12" s="89">
        <v>7</v>
      </c>
      <c r="C12" s="25" t="s">
        <v>133</v>
      </c>
      <c r="D12" s="90">
        <v>44602</v>
      </c>
      <c r="E12" s="27">
        <f t="shared" ca="1" si="0"/>
        <v>6</v>
      </c>
    </row>
    <row r="13" spans="2:5">
      <c r="B13" s="89">
        <v>8</v>
      </c>
      <c r="C13" s="25" t="s">
        <v>128</v>
      </c>
      <c r="D13" s="90">
        <v>44603</v>
      </c>
      <c r="E13" s="27">
        <f t="shared" ca="1" si="0"/>
        <v>3</v>
      </c>
    </row>
    <row r="14" spans="2:5">
      <c r="B14" s="89">
        <v>9</v>
      </c>
      <c r="C14" s="25" t="s">
        <v>136</v>
      </c>
      <c r="D14" s="90">
        <v>44604</v>
      </c>
      <c r="E14" s="27">
        <f t="shared" ca="1" si="0"/>
        <v>3</v>
      </c>
    </row>
    <row r="15" spans="2:5">
      <c r="B15" s="89">
        <v>10</v>
      </c>
      <c r="C15" s="25" t="s">
        <v>138</v>
      </c>
      <c r="D15" s="90">
        <v>44605</v>
      </c>
      <c r="E15" s="27">
        <f t="shared" ca="1" si="0"/>
        <v>2</v>
      </c>
    </row>
    <row r="16" spans="2:5">
      <c r="B16" s="89">
        <v>11</v>
      </c>
      <c r="C16" s="25" t="s">
        <v>140</v>
      </c>
      <c r="D16" s="90">
        <v>44606</v>
      </c>
      <c r="E16" s="27">
        <f t="shared" ca="1" si="0"/>
        <v>8</v>
      </c>
    </row>
    <row r="17" spans="2:5">
      <c r="B17" s="89">
        <v>12</v>
      </c>
      <c r="C17" s="25" t="s">
        <v>142</v>
      </c>
      <c r="D17" s="90">
        <v>44607</v>
      </c>
      <c r="E17" s="27">
        <f t="shared" ca="1" si="0"/>
        <v>2</v>
      </c>
    </row>
    <row r="18" spans="2:5">
      <c r="B18" s="89">
        <v>13</v>
      </c>
      <c r="C18" s="25" t="s">
        <v>187</v>
      </c>
      <c r="D18" s="90" t="s">
        <v>234</v>
      </c>
      <c r="E18" s="27">
        <f t="shared" ca="1" si="0"/>
        <v>4</v>
      </c>
    </row>
    <row r="19" spans="2:5">
      <c r="B19" s="89">
        <v>14</v>
      </c>
      <c r="C19" s="25" t="s">
        <v>189</v>
      </c>
      <c r="D19" s="90" t="s">
        <v>235</v>
      </c>
      <c r="E19" s="27">
        <f t="shared" ca="1" si="0"/>
        <v>1</v>
      </c>
    </row>
    <row r="20" spans="2:5">
      <c r="B20" s="89">
        <v>15</v>
      </c>
      <c r="C20" s="25" t="s">
        <v>191</v>
      </c>
      <c r="D20" s="90">
        <v>44693</v>
      </c>
      <c r="E20" s="27">
        <f t="shared" ca="1" si="0"/>
        <v>6</v>
      </c>
    </row>
    <row r="21" spans="2:5">
      <c r="B21" s="89">
        <v>16</v>
      </c>
      <c r="C21" s="25" t="s">
        <v>244</v>
      </c>
      <c r="D21" s="90" t="s">
        <v>236</v>
      </c>
      <c r="E21" s="27">
        <f t="shared" ca="1" si="0"/>
        <v>6</v>
      </c>
    </row>
    <row r="22" spans="2:5">
      <c r="B22" s="89">
        <v>17</v>
      </c>
      <c r="C22" s="25" t="s">
        <v>195</v>
      </c>
      <c r="D22" s="90" t="s">
        <v>237</v>
      </c>
      <c r="E22" s="27">
        <f t="shared" ca="1" si="0"/>
        <v>5</v>
      </c>
    </row>
    <row r="23" spans="2:5">
      <c r="B23" s="89">
        <v>18</v>
      </c>
      <c r="C23" s="25" t="s">
        <v>197</v>
      </c>
      <c r="D23" s="90">
        <v>45266</v>
      </c>
      <c r="E23" s="27">
        <f t="shared" ca="1" si="0"/>
        <v>6</v>
      </c>
    </row>
    <row r="24" spans="2:5">
      <c r="B24" s="89">
        <v>19</v>
      </c>
      <c r="C24" s="25" t="s">
        <v>199</v>
      </c>
      <c r="D24" s="90" t="s">
        <v>238</v>
      </c>
      <c r="E24" s="27">
        <f t="shared" ca="1" si="0"/>
        <v>8</v>
      </c>
    </row>
    <row r="25" spans="2:5">
      <c r="B25" s="89">
        <v>20</v>
      </c>
      <c r="C25" s="25" t="s">
        <v>201</v>
      </c>
      <c r="D25" s="90" t="s">
        <v>239</v>
      </c>
      <c r="E25" s="27">
        <f t="shared" ca="1" si="0"/>
        <v>2</v>
      </c>
    </row>
    <row r="26" spans="2:5">
      <c r="B26" s="89">
        <v>21</v>
      </c>
      <c r="C26" s="28" t="s">
        <v>177</v>
      </c>
      <c r="D26" s="90" t="s">
        <v>240</v>
      </c>
      <c r="E26" s="27">
        <f t="shared" ca="1" si="0"/>
        <v>4</v>
      </c>
    </row>
    <row r="27" spans="2:5" ht="19.8" customHeight="1">
      <c r="B27" s="89">
        <v>22</v>
      </c>
      <c r="C27" s="29" t="s">
        <v>179</v>
      </c>
      <c r="D27" s="90" t="s">
        <v>241</v>
      </c>
      <c r="E27" s="27">
        <f t="shared" ca="1" si="0"/>
        <v>8</v>
      </c>
    </row>
    <row r="28" spans="2:5">
      <c r="B28" s="23"/>
      <c r="C28" s="21"/>
      <c r="D28" s="21"/>
      <c r="E28" s="21"/>
    </row>
  </sheetData>
  <mergeCells count="1">
    <mergeCell ref="B1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S.DATA</vt:lpstr>
      <vt:lpstr>L.RECORD</vt:lpstr>
      <vt:lpstr>BOOK INFO</vt:lpstr>
      <vt:lpstr>B.BOOKS</vt:lpstr>
      <vt:lpstr>OVERDUES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Ayesha Altaf</cp:lastModifiedBy>
  <dcterms:created xsi:type="dcterms:W3CDTF">2024-01-21T02:21:31Z</dcterms:created>
  <dcterms:modified xsi:type="dcterms:W3CDTF">2024-01-24T16:15:19Z</dcterms:modified>
</cp:coreProperties>
</file>